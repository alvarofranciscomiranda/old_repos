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10" codeName="{00000000-0000-0000-0000-000000000000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3bc6\AC\Temp\"/>
    </mc:Choice>
  </mc:AlternateContent>
  <xr:revisionPtr revIDLastSave="0" documentId="8_{C2305116-1707-4DC7-A67A-F00D56849996}" xr6:coauthVersionLast="45" xr6:coauthVersionMax="45" xr10:uidLastSave="{00000000-0000-0000-0000-000000000000}"/>
  <bookViews>
    <workbookView xWindow="0" yWindow="0" windowWidth="25605" windowHeight="16005" tabRatio="797" firstSheet="16" activeTab="16" xr2:uid="{00000000-000D-0000-FFFF-FFFF00000000}"/>
  </bookViews>
  <sheets>
    <sheet name="CAPA" sheetId="31" r:id="rId1"/>
    <sheet name="Regras de Utilização" sheetId="24" r:id="rId2"/>
    <sheet name="Pressupostos" sheetId="12" r:id="rId3"/>
    <sheet name="VN" sheetId="1" r:id="rId4"/>
    <sheet name="CMVMC" sheetId="15" r:id="rId5"/>
    <sheet name="Gastos com Pessoal" sheetId="7" r:id="rId6"/>
    <sheet name="FundoManeio" sheetId="3" r:id="rId7"/>
    <sheet name="FSE" sheetId="6" r:id="rId8"/>
    <sheet name="Investimento" sheetId="25" r:id="rId9"/>
    <sheet name="Financiamento" sheetId="9" r:id="rId10"/>
    <sheet name="Ponto Crítico" sheetId="29" r:id="rId11"/>
    <sheet name="DR" sheetId="2" r:id="rId12"/>
    <sheet name="Cash Flow" sheetId="18" r:id="rId13"/>
    <sheet name="PlanoFinanceiro" sheetId="20" r:id="rId14"/>
    <sheet name="Balanço" sheetId="4" r:id="rId15"/>
    <sheet name="Indicadores" sheetId="5" r:id="rId16"/>
    <sheet name="Avaliação" sheetId="11" r:id="rId17"/>
    <sheet name="Calculos Auxiliares" sheetId="28" r:id="rId18"/>
  </sheets>
  <functionGroups builtInGroupCount="19"/>
  <externalReferences>
    <externalReference r:id="rId19"/>
    <externalReference r:id="rId20"/>
  </externalReferences>
  <definedNames>
    <definedName name="anscount" hidden="1">1</definedName>
    <definedName name="_xlnm.Print_Area" localSheetId="16">Avaliação!$A$1:$M$67</definedName>
    <definedName name="_xlnm.Print_Area" localSheetId="14">Balanço!$A$1:$M$51</definedName>
    <definedName name="_xlnm.Print_Area" localSheetId="17">'Calculos Auxiliares'!$A$1:$H$91</definedName>
    <definedName name="_xlnm.Print_Area" localSheetId="12">'Cash Flow'!$A$1:$M$23</definedName>
    <definedName name="_xlnm.Print_Area" localSheetId="4">CMVMC!$A$1:$M$29</definedName>
    <definedName name="_xlnm.Print_Area" localSheetId="11">DR!$A$1:$L$32</definedName>
    <definedName name="_xlnm.Print_Area" localSheetId="9">Financiamento!$A$1:$M$104</definedName>
    <definedName name="_xlnm.Print_Area" localSheetId="7">FSE!$A$1:$P$53</definedName>
    <definedName name="_xlnm.Print_Area" localSheetId="6">FundoManeio!$A$1:$M$27</definedName>
    <definedName name="_xlnm.Print_Area" localSheetId="5">'Gastos com Pessoal'!$A$1:$N$102</definedName>
    <definedName name="_xlnm.Print_Area" localSheetId="15">Indicadores!$A$1:$L$28</definedName>
    <definedName name="_xlnm.Print_Area" localSheetId="8">Investimento!$A$1:$M$168</definedName>
    <definedName name="_xlnm.Print_Area" localSheetId="13">PlanoFinanceiro!$A$1:$M$35</definedName>
    <definedName name="_xlnm.Print_Area" localSheetId="10">'Ponto Crítico'!$A$1:$L$13</definedName>
    <definedName name="_xlnm.Print_Area" localSheetId="2">Pressupostos!$A$1:$E$53</definedName>
    <definedName name="_xlnm.Print_Area" localSheetId="1">'Regras de Utilização'!$B$1:$C$37</definedName>
    <definedName name="_xlnm.Print_Area" localSheetId="3">VN!$A$1:$M$88</definedName>
    <definedName name="Bu">[1]INPUT!$B$10</definedName>
    <definedName name="DC">[1]INPUT!$B$8</definedName>
    <definedName name="EXHIBIT_01">#REF!</definedName>
    <definedName name="EXHIBIT_02" localSheetId="17">#REF!</definedName>
    <definedName name="EXHIBIT_02" localSheetId="10">#REF!</definedName>
    <definedName name="EXHIBIT_02">#REF!</definedName>
    <definedName name="EXHIBIT_05" localSheetId="17">#REF!</definedName>
    <definedName name="EXHIBIT_05" localSheetId="10">#REF!</definedName>
    <definedName name="EXHIBIT_05">#REF!</definedName>
    <definedName name="EXHIBIT_06" localSheetId="17">#REF!</definedName>
    <definedName name="EXHIBIT_06" localSheetId="10">#REF!</definedName>
    <definedName name="EXHIBIT_06">#REF!</definedName>
    <definedName name="EXHIBIT_07" localSheetId="17">#REF!</definedName>
    <definedName name="EXHIBIT_07" localSheetId="10">#REF!</definedName>
    <definedName name="EXHIBIT_07">#REF!</definedName>
    <definedName name="EXHIBIT_08" localSheetId="17">#REF!</definedName>
    <definedName name="EXHIBIT_08" localSheetId="10">#REF!</definedName>
    <definedName name="EXHIBIT_08">#REF!</definedName>
    <definedName name="new_proj">'[2]Novos Projectos'!$A$3:$A$57</definedName>
    <definedName name="Pm">[1]INPUT!$B$6</definedName>
    <definedName name="Rd">[1]INPUT!$B$4</definedName>
    <definedName name="Rf" xlm="1">[1]INPUT!$B$5</definedName>
    <definedName name="t">[1]INPUT!$B$7</definedName>
    <definedName name="TD">[1]INPUT!$B$9</definedName>
    <definedName name="_xlnm.Print_Titles" localSheetId="9">Financiamento!$1:$6</definedName>
    <definedName name="_xlnm.Print_Titles" localSheetId="5">'Gastos com Pessoal'!$1:$4</definedName>
    <definedName name="_xlnm.Print_Titles" localSheetId="3">VN!$1:$5</definedName>
    <definedName name="VARa">[1]INPUT!$B$12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11" l="1"/>
  <c r="E15" i="6" l="1"/>
  <c r="C25" i="25"/>
  <c r="G16" i="25"/>
  <c r="F16" i="25"/>
  <c r="C16" i="25"/>
  <c r="C16" i="28"/>
  <c r="C17" i="28"/>
  <c r="C15" i="28"/>
  <c r="H41" i="6"/>
  <c r="G41" i="6"/>
  <c r="F41" i="6"/>
  <c r="C18" i="25"/>
  <c r="C42" i="28"/>
  <c r="D42" i="28"/>
  <c r="C43" i="28"/>
  <c r="C79" i="28" s="1"/>
  <c r="D43" i="28"/>
  <c r="D79" i="28" s="1"/>
  <c r="E43" i="28"/>
  <c r="G43" i="28"/>
  <c r="H43" i="28"/>
  <c r="H79" i="28" s="1"/>
  <c r="E27" i="28"/>
  <c r="E42" i="28" s="1"/>
  <c r="E78" i="28" s="1"/>
  <c r="F28" i="28"/>
  <c r="F43" i="28" s="1"/>
  <c r="F79" i="28" s="1"/>
  <c r="C26" i="28"/>
  <c r="F89" i="28"/>
  <c r="F91" i="28" s="1"/>
  <c r="G91" i="28" s="1"/>
  <c r="F90" i="28"/>
  <c r="D25" i="25"/>
  <c r="E25" i="25"/>
  <c r="F25" i="25"/>
  <c r="G25" i="25"/>
  <c r="H25" i="25"/>
  <c r="I25" i="25"/>
  <c r="J25" i="25"/>
  <c r="K25" i="25"/>
  <c r="L25" i="25"/>
  <c r="M25" i="25"/>
  <c r="N79" i="7"/>
  <c r="M79" i="7"/>
  <c r="L79" i="7"/>
  <c r="K79" i="7"/>
  <c r="J79" i="7"/>
  <c r="I79" i="7"/>
  <c r="H79" i="7"/>
  <c r="G79" i="7"/>
  <c r="E79" i="7"/>
  <c r="F79" i="7"/>
  <c r="D79" i="7"/>
  <c r="F15" i="6"/>
  <c r="G15" i="6"/>
  <c r="H15" i="6"/>
  <c r="I15" i="6"/>
  <c r="J15" i="6" s="1"/>
  <c r="K15" i="6" s="1"/>
  <c r="L15" i="6" s="1"/>
  <c r="M15" i="6" s="1"/>
  <c r="N15" i="6" s="1"/>
  <c r="O15" i="6" s="1"/>
  <c r="P15" i="6" s="1"/>
  <c r="E29" i="6"/>
  <c r="D46" i="1"/>
  <c r="D78" i="28"/>
  <c r="E79" i="28"/>
  <c r="G79" i="28"/>
  <c r="C78" i="28"/>
  <c r="F18" i="6"/>
  <c r="F16" i="6"/>
  <c r="D28" i="1"/>
  <c r="D14" i="1"/>
  <c r="E14" i="1" s="1"/>
  <c r="D22" i="1"/>
  <c r="D16" i="1"/>
  <c r="E16" i="1" s="1"/>
  <c r="F16" i="1" s="1"/>
  <c r="G16" i="1" s="1"/>
  <c r="H16" i="1" s="1"/>
  <c r="I16" i="1" s="1"/>
  <c r="J16" i="1" s="1"/>
  <c r="K16" i="1" s="1"/>
  <c r="L16" i="1" s="1"/>
  <c r="M16" i="1" s="1"/>
  <c r="F14" i="1" l="1"/>
  <c r="E26" i="28"/>
  <c r="D26" i="28"/>
  <c r="E41" i="7"/>
  <c r="E22" i="1"/>
  <c r="G14" i="1" l="1"/>
  <c r="F26" i="28"/>
  <c r="I13" i="6"/>
  <c r="H13" i="6"/>
  <c r="G13" i="6"/>
  <c r="F13" i="6"/>
  <c r="I42" i="6"/>
  <c r="J42" i="6" s="1"/>
  <c r="K42" i="6" s="1"/>
  <c r="L42" i="6" s="1"/>
  <c r="M42" i="6" s="1"/>
  <c r="N42" i="6" s="1"/>
  <c r="O42" i="6" s="1"/>
  <c r="P42" i="6" s="1"/>
  <c r="H42" i="6"/>
  <c r="G42" i="6"/>
  <c r="F42" i="6"/>
  <c r="I41" i="6"/>
  <c r="J41" i="6" s="1"/>
  <c r="K41" i="6" s="1"/>
  <c r="L41" i="6" s="1"/>
  <c r="M41" i="6" s="1"/>
  <c r="N41" i="6" s="1"/>
  <c r="O41" i="6" s="1"/>
  <c r="P41" i="6" s="1"/>
  <c r="I40" i="6"/>
  <c r="J40" i="6" s="1"/>
  <c r="K40" i="6" s="1"/>
  <c r="L40" i="6" s="1"/>
  <c r="M40" i="6" s="1"/>
  <c r="N40" i="6" s="1"/>
  <c r="O40" i="6" s="1"/>
  <c r="P40" i="6" s="1"/>
  <c r="H40" i="6"/>
  <c r="F40" i="6"/>
  <c r="I39" i="6"/>
  <c r="J39" i="6"/>
  <c r="K39" i="6"/>
  <c r="L39" i="6" s="1"/>
  <c r="M39" i="6" s="1"/>
  <c r="N39" i="6" s="1"/>
  <c r="O39" i="6" s="1"/>
  <c r="P39" i="6" s="1"/>
  <c r="H39" i="6"/>
  <c r="G39" i="6"/>
  <c r="F39" i="6"/>
  <c r="I38" i="6"/>
  <c r="J38" i="6" s="1"/>
  <c r="K38" i="6" s="1"/>
  <c r="L38" i="6" s="1"/>
  <c r="M38" i="6" s="1"/>
  <c r="N38" i="6" s="1"/>
  <c r="O38" i="6" s="1"/>
  <c r="P38" i="6" s="1"/>
  <c r="H38" i="6"/>
  <c r="G38" i="6"/>
  <c r="F38" i="6"/>
  <c r="I36" i="6"/>
  <c r="J36" i="6" s="1"/>
  <c r="K36" i="6" s="1"/>
  <c r="L36" i="6" s="1"/>
  <c r="M36" i="6" s="1"/>
  <c r="N36" i="6" s="1"/>
  <c r="O36" i="6" s="1"/>
  <c r="P36" i="6" s="1"/>
  <c r="H36" i="6"/>
  <c r="G36" i="6"/>
  <c r="F36" i="6"/>
  <c r="I35" i="6"/>
  <c r="J35" i="6" s="1"/>
  <c r="K35" i="6" s="1"/>
  <c r="L35" i="6" s="1"/>
  <c r="M35" i="6" s="1"/>
  <c r="N35" i="6" s="1"/>
  <c r="O35" i="6" s="1"/>
  <c r="P35" i="6" s="1"/>
  <c r="H35" i="6"/>
  <c r="G35" i="6"/>
  <c r="F35" i="6"/>
  <c r="I33" i="6"/>
  <c r="J33" i="6"/>
  <c r="K33" i="6" s="1"/>
  <c r="L33" i="6" s="1"/>
  <c r="M33" i="6" s="1"/>
  <c r="N33" i="6" s="1"/>
  <c r="O33" i="6" s="1"/>
  <c r="P33" i="6" s="1"/>
  <c r="H33" i="6"/>
  <c r="G33" i="6"/>
  <c r="F33" i="6"/>
  <c r="I32" i="6"/>
  <c r="J32" i="6"/>
  <c r="K32" i="6" s="1"/>
  <c r="L32" i="6" s="1"/>
  <c r="M32" i="6" s="1"/>
  <c r="N32" i="6" s="1"/>
  <c r="O32" i="6" s="1"/>
  <c r="P32" i="6" s="1"/>
  <c r="H32" i="6"/>
  <c r="G32" i="6"/>
  <c r="F32" i="6"/>
  <c r="I31" i="6"/>
  <c r="J31" i="6" s="1"/>
  <c r="K31" i="6" s="1"/>
  <c r="L31" i="6" s="1"/>
  <c r="M31" i="6" s="1"/>
  <c r="N31" i="6" s="1"/>
  <c r="O31" i="6" s="1"/>
  <c r="P31" i="6" s="1"/>
  <c r="H31" i="6"/>
  <c r="G31" i="6"/>
  <c r="F31" i="6"/>
  <c r="I29" i="6"/>
  <c r="J29" i="6"/>
  <c r="K29" i="6"/>
  <c r="L29" i="6"/>
  <c r="M29" i="6" s="1"/>
  <c r="N29" i="6" s="1"/>
  <c r="O29" i="6" s="1"/>
  <c r="P29" i="6" s="1"/>
  <c r="H29" i="6"/>
  <c r="G29" i="6"/>
  <c r="F29" i="6"/>
  <c r="I28" i="6"/>
  <c r="J28" i="6" s="1"/>
  <c r="K28" i="6" s="1"/>
  <c r="L28" i="6" s="1"/>
  <c r="M28" i="6" s="1"/>
  <c r="N28" i="6" s="1"/>
  <c r="O28" i="6" s="1"/>
  <c r="P28" i="6" s="1"/>
  <c r="H28" i="6"/>
  <c r="G28" i="6"/>
  <c r="F28" i="6"/>
  <c r="I27" i="6"/>
  <c r="J27" i="6" s="1"/>
  <c r="K27" i="6" s="1"/>
  <c r="L27" i="6" s="1"/>
  <c r="M27" i="6" s="1"/>
  <c r="N27" i="6" s="1"/>
  <c r="O27" i="6" s="1"/>
  <c r="P27" i="6" s="1"/>
  <c r="H27" i="6"/>
  <c r="G27" i="6"/>
  <c r="F27" i="6"/>
  <c r="I25" i="6"/>
  <c r="J25" i="6" s="1"/>
  <c r="K25" i="6" s="1"/>
  <c r="L25" i="6" s="1"/>
  <c r="M25" i="6" s="1"/>
  <c r="N25" i="6" s="1"/>
  <c r="O25" i="6" s="1"/>
  <c r="P25" i="6" s="1"/>
  <c r="H25" i="6"/>
  <c r="G25" i="6"/>
  <c r="F25" i="6"/>
  <c r="I23" i="6"/>
  <c r="J23" i="6"/>
  <c r="K23" i="6" s="1"/>
  <c r="L23" i="6" s="1"/>
  <c r="M23" i="6" s="1"/>
  <c r="N23" i="6" s="1"/>
  <c r="O23" i="6" s="1"/>
  <c r="P23" i="6" s="1"/>
  <c r="H23" i="6"/>
  <c r="G23" i="6"/>
  <c r="F23" i="6"/>
  <c r="I22" i="6"/>
  <c r="J22" i="6"/>
  <c r="K22" i="6" s="1"/>
  <c r="L22" i="6" s="1"/>
  <c r="M22" i="6" s="1"/>
  <c r="N22" i="6" s="1"/>
  <c r="O22" i="6" s="1"/>
  <c r="P22" i="6" s="1"/>
  <c r="H22" i="6"/>
  <c r="G22" i="6"/>
  <c r="F22" i="6"/>
  <c r="J20" i="6"/>
  <c r="K20" i="6" s="1"/>
  <c r="L20" i="6" s="1"/>
  <c r="G20" i="6"/>
  <c r="F20" i="6"/>
  <c r="I19" i="6"/>
  <c r="J19" i="6"/>
  <c r="K19" i="6"/>
  <c r="L19" i="6" s="1"/>
  <c r="M19" i="6" s="1"/>
  <c r="N19" i="6" s="1"/>
  <c r="O19" i="6" s="1"/>
  <c r="P19" i="6" s="1"/>
  <c r="H19" i="6"/>
  <c r="G19" i="6"/>
  <c r="F19" i="6"/>
  <c r="I18" i="6"/>
  <c r="J18" i="6" s="1"/>
  <c r="K18" i="6" s="1"/>
  <c r="L18" i="6" s="1"/>
  <c r="M18" i="6" s="1"/>
  <c r="N18" i="6" s="1"/>
  <c r="O18" i="6" s="1"/>
  <c r="P18" i="6" s="1"/>
  <c r="H18" i="6"/>
  <c r="G18" i="6"/>
  <c r="I17" i="6"/>
  <c r="J17" i="6" s="1"/>
  <c r="K17" i="6" s="1"/>
  <c r="L17" i="6" s="1"/>
  <c r="M17" i="6" s="1"/>
  <c r="N17" i="6" s="1"/>
  <c r="O17" i="6" s="1"/>
  <c r="P17" i="6" s="1"/>
  <c r="H17" i="6"/>
  <c r="G17" i="6"/>
  <c r="F17" i="6"/>
  <c r="I16" i="6"/>
  <c r="J16" i="6" s="1"/>
  <c r="K16" i="6" s="1"/>
  <c r="L16" i="6" s="1"/>
  <c r="M16" i="6" s="1"/>
  <c r="N16" i="6" s="1"/>
  <c r="O16" i="6" s="1"/>
  <c r="P16" i="6" s="1"/>
  <c r="H16" i="6"/>
  <c r="G16" i="6"/>
  <c r="D48" i="1"/>
  <c r="H95" i="9"/>
  <c r="G82" i="9"/>
  <c r="F69" i="9"/>
  <c r="E56" i="9"/>
  <c r="D43" i="9"/>
  <c r="C30" i="9"/>
  <c r="C104" i="9" s="1"/>
  <c r="C23" i="20" s="1"/>
  <c r="D161" i="25"/>
  <c r="D140" i="25"/>
  <c r="E140" i="25" s="1"/>
  <c r="F140" i="25" s="1"/>
  <c r="D131" i="25"/>
  <c r="D110" i="25"/>
  <c r="E110" i="25" s="1"/>
  <c r="D96" i="25"/>
  <c r="E96" i="25"/>
  <c r="D87" i="25"/>
  <c r="H7" i="7"/>
  <c r="I7" i="7"/>
  <c r="J7" i="7"/>
  <c r="K7" i="7"/>
  <c r="L7" i="7"/>
  <c r="J8" i="6"/>
  <c r="K8" i="6"/>
  <c r="D40" i="1"/>
  <c r="D36" i="1"/>
  <c r="E36" i="1" s="1"/>
  <c r="E28" i="1"/>
  <c r="D24" i="1"/>
  <c r="E24" i="1" s="1"/>
  <c r="E21" i="1" s="1"/>
  <c r="D20" i="1"/>
  <c r="D46" i="4"/>
  <c r="E46" i="4"/>
  <c r="F46" i="4"/>
  <c r="G46" i="4"/>
  <c r="H46" i="4"/>
  <c r="I46" i="4"/>
  <c r="J46" i="4"/>
  <c r="K46" i="4"/>
  <c r="L46" i="4"/>
  <c r="M46" i="4"/>
  <c r="C46" i="4"/>
  <c r="D26" i="1"/>
  <c r="E26" i="1"/>
  <c r="F26" i="1" s="1"/>
  <c r="G26" i="1" s="1"/>
  <c r="H26" i="1" s="1"/>
  <c r="I26" i="1" s="1"/>
  <c r="J26" i="1" s="1"/>
  <c r="K26" i="1" s="1"/>
  <c r="L26" i="1" s="1"/>
  <c r="M26" i="1" s="1"/>
  <c r="C25" i="1"/>
  <c r="C21" i="1"/>
  <c r="F18" i="1"/>
  <c r="F27" i="28" s="1"/>
  <c r="G18" i="1"/>
  <c r="G27" i="28" s="1"/>
  <c r="G42" i="28" s="1"/>
  <c r="G78" i="28" s="1"/>
  <c r="H18" i="1"/>
  <c r="H27" i="28" s="1"/>
  <c r="H42" i="28" s="1"/>
  <c r="H78" i="28" s="1"/>
  <c r="C17" i="1"/>
  <c r="C13" i="1"/>
  <c r="F42" i="7"/>
  <c r="F43" i="7"/>
  <c r="F57" i="7" s="1"/>
  <c r="E44" i="7"/>
  <c r="F44" i="7" s="1"/>
  <c r="E45" i="7"/>
  <c r="E59" i="7"/>
  <c r="E46" i="7"/>
  <c r="F46" i="7"/>
  <c r="F60" i="7" s="1"/>
  <c r="E47" i="7"/>
  <c r="F47" i="7"/>
  <c r="F61" i="7" s="1"/>
  <c r="G47" i="7"/>
  <c r="E48" i="7"/>
  <c r="F48" i="7"/>
  <c r="E49" i="7"/>
  <c r="F49" i="7" s="1"/>
  <c r="G49" i="7" s="1"/>
  <c r="G63" i="7" s="1"/>
  <c r="E50" i="7"/>
  <c r="C27" i="9"/>
  <c r="C33" i="9" s="1"/>
  <c r="H92" i="9"/>
  <c r="G79" i="9"/>
  <c r="F66" i="9"/>
  <c r="F72" i="9"/>
  <c r="G69" i="9"/>
  <c r="C22" i="4"/>
  <c r="E27" i="2"/>
  <c r="F15" i="20"/>
  <c r="D27" i="2"/>
  <c r="E15" i="20"/>
  <c r="H27" i="2"/>
  <c r="I15" i="20"/>
  <c r="F27" i="2"/>
  <c r="G15" i="20"/>
  <c r="G27" i="2"/>
  <c r="H15" i="20"/>
  <c r="I27" i="2"/>
  <c r="J15" i="20"/>
  <c r="J27" i="2"/>
  <c r="K15" i="20"/>
  <c r="K27" i="2"/>
  <c r="L15" i="20"/>
  <c r="L27" i="2"/>
  <c r="M15" i="20"/>
  <c r="J10" i="20"/>
  <c r="K10" i="20"/>
  <c r="L10" i="20"/>
  <c r="M10" i="20"/>
  <c r="J11" i="20"/>
  <c r="K11" i="20"/>
  <c r="L11" i="20"/>
  <c r="M11" i="20"/>
  <c r="J12" i="20"/>
  <c r="K12" i="20"/>
  <c r="L12" i="20"/>
  <c r="M12" i="20"/>
  <c r="F10" i="20"/>
  <c r="G10" i="20"/>
  <c r="H10" i="20"/>
  <c r="I10" i="20"/>
  <c r="F11" i="20"/>
  <c r="G11" i="20"/>
  <c r="H11" i="20"/>
  <c r="I11" i="20"/>
  <c r="F12" i="20"/>
  <c r="G12" i="20"/>
  <c r="H12" i="20"/>
  <c r="I12" i="20"/>
  <c r="E77" i="11"/>
  <c r="F77" i="11"/>
  <c r="G77" i="11"/>
  <c r="H77" i="11"/>
  <c r="I77" i="11"/>
  <c r="J77" i="11"/>
  <c r="K77" i="11"/>
  <c r="L77" i="11"/>
  <c r="E78" i="11"/>
  <c r="F78" i="11"/>
  <c r="G78" i="11"/>
  <c r="H78" i="11"/>
  <c r="I78" i="11"/>
  <c r="J78" i="11"/>
  <c r="K78" i="11"/>
  <c r="L78" i="11"/>
  <c r="E10" i="20"/>
  <c r="E11" i="20"/>
  <c r="E12" i="20"/>
  <c r="E11" i="18"/>
  <c r="F11" i="18"/>
  <c r="G11" i="18"/>
  <c r="H11" i="18"/>
  <c r="I11" i="18"/>
  <c r="J11" i="18"/>
  <c r="K11" i="18"/>
  <c r="L11" i="18"/>
  <c r="M11" i="18"/>
  <c r="E9" i="29"/>
  <c r="F9" i="29"/>
  <c r="G9" i="29"/>
  <c r="H9" i="29"/>
  <c r="I9" i="29"/>
  <c r="J9" i="29"/>
  <c r="K9" i="29"/>
  <c r="L9" i="29"/>
  <c r="F12" i="25"/>
  <c r="G12" i="25"/>
  <c r="H12" i="25"/>
  <c r="I12" i="25"/>
  <c r="J12" i="25"/>
  <c r="K12" i="25"/>
  <c r="L12" i="25"/>
  <c r="M12" i="25"/>
  <c r="F21" i="25"/>
  <c r="G21" i="25"/>
  <c r="H21" i="25"/>
  <c r="I21" i="25"/>
  <c r="J21" i="25"/>
  <c r="K21" i="25"/>
  <c r="L21" i="25"/>
  <c r="M21" i="25"/>
  <c r="F28" i="25"/>
  <c r="G28" i="25"/>
  <c r="H28" i="25"/>
  <c r="I28" i="25"/>
  <c r="J28" i="25"/>
  <c r="K28" i="25"/>
  <c r="L28" i="25"/>
  <c r="M28" i="25"/>
  <c r="F23" i="7"/>
  <c r="G23" i="7"/>
  <c r="H23" i="7"/>
  <c r="I23" i="7"/>
  <c r="I74" i="7" s="1"/>
  <c r="I92" i="7" s="1"/>
  <c r="J23" i="7"/>
  <c r="J74" i="7" s="1"/>
  <c r="J92" i="7" s="1"/>
  <c r="K23" i="7"/>
  <c r="F26" i="7"/>
  <c r="G26" i="7"/>
  <c r="H26" i="7"/>
  <c r="I26" i="7"/>
  <c r="J26" i="7"/>
  <c r="K26" i="7"/>
  <c r="F93" i="7"/>
  <c r="G93" i="7"/>
  <c r="H93" i="7"/>
  <c r="I93" i="7"/>
  <c r="J93" i="7"/>
  <c r="K93" i="7"/>
  <c r="C75" i="25"/>
  <c r="D56" i="7"/>
  <c r="D57" i="7"/>
  <c r="D58" i="7"/>
  <c r="D59" i="7"/>
  <c r="D60" i="7"/>
  <c r="D61" i="7"/>
  <c r="D62" i="7"/>
  <c r="D63" i="7"/>
  <c r="D64" i="7"/>
  <c r="D65" i="7"/>
  <c r="D55" i="7"/>
  <c r="D88" i="7" s="1"/>
  <c r="N26" i="7"/>
  <c r="M26" i="7"/>
  <c r="L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A9" i="29"/>
  <c r="A8" i="29"/>
  <c r="C8" i="1"/>
  <c r="C7" i="3" s="1"/>
  <c r="L2" i="29"/>
  <c r="L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C51" i="11"/>
  <c r="D51" i="11"/>
  <c r="E51" i="11" s="1"/>
  <c r="F51" i="11" s="1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83" i="28"/>
  <c r="C84" i="28"/>
  <c r="C85" i="28"/>
  <c r="C86" i="28"/>
  <c r="H1" i="28"/>
  <c r="C25" i="28"/>
  <c r="C36" i="28" s="1"/>
  <c r="C54" i="28" s="1"/>
  <c r="F33" i="28"/>
  <c r="E33" i="28"/>
  <c r="D33" i="28"/>
  <c r="C33" i="28"/>
  <c r="D11" i="20"/>
  <c r="C11" i="20"/>
  <c r="C100" i="7"/>
  <c r="C101" i="7"/>
  <c r="C99" i="7"/>
  <c r="C72" i="7"/>
  <c r="C71" i="7"/>
  <c r="C45" i="4"/>
  <c r="D45" i="4"/>
  <c r="E45" i="4" s="1"/>
  <c r="F45" i="4" s="1"/>
  <c r="G45" i="4" s="1"/>
  <c r="H45" i="4" s="1"/>
  <c r="I45" i="4" s="1"/>
  <c r="J45" i="4" s="1"/>
  <c r="K45" i="4" s="1"/>
  <c r="L45" i="4" s="1"/>
  <c r="M45" i="4" s="1"/>
  <c r="C31" i="4"/>
  <c r="D31" i="4"/>
  <c r="E31" i="4"/>
  <c r="F31" i="4"/>
  <c r="G31" i="4"/>
  <c r="H31" i="4"/>
  <c r="I31" i="4"/>
  <c r="J31" i="4"/>
  <c r="K31" i="4"/>
  <c r="L31" i="4"/>
  <c r="M31" i="4"/>
  <c r="C28" i="4"/>
  <c r="D28" i="4"/>
  <c r="E28" i="4"/>
  <c r="F28" i="4"/>
  <c r="G28" i="4"/>
  <c r="H28" i="4"/>
  <c r="I28" i="4"/>
  <c r="J28" i="4"/>
  <c r="K28" i="4"/>
  <c r="L28" i="4"/>
  <c r="M28" i="4"/>
  <c r="C26" i="4"/>
  <c r="D26" i="4"/>
  <c r="E26" i="4" s="1"/>
  <c r="F26" i="4" s="1"/>
  <c r="G26" i="4" s="1"/>
  <c r="H26" i="4" s="1"/>
  <c r="I26" i="4" s="1"/>
  <c r="J26" i="4" s="1"/>
  <c r="K26" i="4" s="1"/>
  <c r="L26" i="4" s="1"/>
  <c r="M26" i="4" s="1"/>
  <c r="C71" i="25"/>
  <c r="B146" i="25"/>
  <c r="C72" i="25"/>
  <c r="B153" i="25"/>
  <c r="C73" i="25"/>
  <c r="B160" i="25"/>
  <c r="D162" i="25"/>
  <c r="D160" i="25" s="1"/>
  <c r="E162" i="25"/>
  <c r="B139" i="25"/>
  <c r="B130" i="25"/>
  <c r="B123" i="25"/>
  <c r="B116" i="25"/>
  <c r="D118" i="25"/>
  <c r="B109" i="25"/>
  <c r="B102" i="25"/>
  <c r="C103" i="25" s="1"/>
  <c r="B95" i="25"/>
  <c r="B86" i="25"/>
  <c r="E89" i="25"/>
  <c r="B79" i="25"/>
  <c r="E82" i="25"/>
  <c r="C52" i="25"/>
  <c r="D52" i="25"/>
  <c r="C51" i="25"/>
  <c r="C50" i="25"/>
  <c r="C49" i="25"/>
  <c r="C53" i="25"/>
  <c r="C41" i="25"/>
  <c r="D41" i="25" s="1"/>
  <c r="C42" i="25"/>
  <c r="C43" i="25"/>
  <c r="D43" i="25" s="1"/>
  <c r="E43" i="25" s="1"/>
  <c r="F43" i="25" s="1"/>
  <c r="G43" i="25" s="1"/>
  <c r="H43" i="25" s="1"/>
  <c r="I43" i="25" s="1"/>
  <c r="J43" i="25" s="1"/>
  <c r="K43" i="25" s="1"/>
  <c r="L43" i="25" s="1"/>
  <c r="M43" i="25" s="1"/>
  <c r="C44" i="25"/>
  <c r="D44" i="25" s="1"/>
  <c r="E44" i="25" s="1"/>
  <c r="F44" i="25" s="1"/>
  <c r="G44" i="25" s="1"/>
  <c r="H44" i="25" s="1"/>
  <c r="I44" i="25" s="1"/>
  <c r="J44" i="25" s="1"/>
  <c r="K44" i="25"/>
  <c r="L44" i="25" s="1"/>
  <c r="M44" i="25" s="1"/>
  <c r="C45" i="25"/>
  <c r="D45" i="25"/>
  <c r="E45" i="25" s="1"/>
  <c r="F45" i="25" s="1"/>
  <c r="G45" i="25" s="1"/>
  <c r="H45" i="25" s="1"/>
  <c r="I45" i="25" s="1"/>
  <c r="J45" i="25" s="1"/>
  <c r="K45" i="25" s="1"/>
  <c r="L45" i="25" s="1"/>
  <c r="M45" i="25" s="1"/>
  <c r="C46" i="25"/>
  <c r="D46" i="25" s="1"/>
  <c r="E46" i="25" s="1"/>
  <c r="F46" i="25" s="1"/>
  <c r="G46" i="25" s="1"/>
  <c r="H46" i="25" s="1"/>
  <c r="I46" i="25" s="1"/>
  <c r="J46" i="25" s="1"/>
  <c r="K46" i="25" s="1"/>
  <c r="L46" i="25" s="1"/>
  <c r="M46" i="25" s="1"/>
  <c r="C40" i="25"/>
  <c r="D40" i="25"/>
  <c r="E40" i="25"/>
  <c r="C35" i="25"/>
  <c r="C36" i="25"/>
  <c r="D36" i="25" s="1"/>
  <c r="C37" i="25"/>
  <c r="D37" i="25"/>
  <c r="E37" i="25"/>
  <c r="E93" i="7"/>
  <c r="L93" i="7"/>
  <c r="M93" i="7"/>
  <c r="N93" i="7"/>
  <c r="D93" i="7"/>
  <c r="D12" i="25"/>
  <c r="D21" i="25"/>
  <c r="D28" i="25"/>
  <c r="E12" i="25"/>
  <c r="E21" i="25"/>
  <c r="E28" i="25"/>
  <c r="C12" i="25"/>
  <c r="C21" i="25"/>
  <c r="C28" i="25"/>
  <c r="E61" i="7"/>
  <c r="E51" i="7"/>
  <c r="F51" i="7"/>
  <c r="E23" i="7"/>
  <c r="E74" i="7" s="1"/>
  <c r="L23" i="7"/>
  <c r="L74" i="7" s="1"/>
  <c r="L92" i="7" s="1"/>
  <c r="M23" i="7"/>
  <c r="M74" i="7" s="1"/>
  <c r="M92" i="7" s="1"/>
  <c r="N23" i="7"/>
  <c r="D23" i="7"/>
  <c r="D74" i="7" s="1"/>
  <c r="D92" i="7" s="1"/>
  <c r="E46" i="1"/>
  <c r="F46" i="1" s="1"/>
  <c r="C28" i="9"/>
  <c r="F28" i="9"/>
  <c r="F67" i="9"/>
  <c r="J67" i="9"/>
  <c r="B31" i="25"/>
  <c r="I31" i="25"/>
  <c r="B72" i="1"/>
  <c r="B78" i="1"/>
  <c r="C13" i="12"/>
  <c r="B18" i="15"/>
  <c r="D9" i="3"/>
  <c r="D22" i="4"/>
  <c r="C27" i="2"/>
  <c r="D15" i="20"/>
  <c r="C10" i="20"/>
  <c r="D10" i="20"/>
  <c r="D12" i="20"/>
  <c r="C52" i="11"/>
  <c r="D52" i="11"/>
  <c r="E52" i="11" s="1"/>
  <c r="F52" i="11" s="1"/>
  <c r="G52" i="11" s="1"/>
  <c r="H52" i="11" s="1"/>
  <c r="I52" i="11" s="1"/>
  <c r="J52" i="11" s="1"/>
  <c r="K52" i="11" s="1"/>
  <c r="L52" i="11" s="1"/>
  <c r="M52" i="11" s="1"/>
  <c r="C33" i="1"/>
  <c r="C14" i="15" s="1"/>
  <c r="D40" i="9"/>
  <c r="C14" i="12"/>
  <c r="C15" i="12"/>
  <c r="C66" i="1"/>
  <c r="C76" i="1"/>
  <c r="C54" i="1"/>
  <c r="C75" i="1"/>
  <c r="D34" i="1"/>
  <c r="A15" i="15"/>
  <c r="A14" i="15"/>
  <c r="A12" i="15"/>
  <c r="A11" i="15"/>
  <c r="A10" i="15"/>
  <c r="A9" i="15"/>
  <c r="D62" i="1"/>
  <c r="D38" i="1"/>
  <c r="D37" i="1" s="1"/>
  <c r="D15" i="15" s="1"/>
  <c r="E38" i="1"/>
  <c r="F38" i="1"/>
  <c r="G38" i="1"/>
  <c r="H38" i="1"/>
  <c r="I38" i="1"/>
  <c r="J38" i="1"/>
  <c r="K38" i="1"/>
  <c r="E48" i="1"/>
  <c r="F48" i="1"/>
  <c r="G48" i="1"/>
  <c r="H48" i="1"/>
  <c r="I48" i="1"/>
  <c r="J48" i="1"/>
  <c r="K48" i="1"/>
  <c r="L48" i="1"/>
  <c r="M48" i="1"/>
  <c r="D50" i="1"/>
  <c r="D52" i="1"/>
  <c r="E52" i="1"/>
  <c r="F52" i="1" s="1"/>
  <c r="G52" i="1" s="1"/>
  <c r="H52" i="1" s="1"/>
  <c r="I52" i="1" s="1"/>
  <c r="J52" i="1" s="1"/>
  <c r="K52" i="1" s="1"/>
  <c r="L52" i="1" s="1"/>
  <c r="M52" i="1" s="1"/>
  <c r="D58" i="1"/>
  <c r="D60" i="1"/>
  <c r="E60" i="1"/>
  <c r="F60" i="1" s="1"/>
  <c r="G60" i="1" s="1"/>
  <c r="H60" i="1" s="1"/>
  <c r="I60" i="1" s="1"/>
  <c r="J60" i="1" s="1"/>
  <c r="K60" i="1" s="1"/>
  <c r="L60" i="1" s="1"/>
  <c r="M60" i="1" s="1"/>
  <c r="D64" i="1"/>
  <c r="E64" i="1"/>
  <c r="F64" i="1" s="1"/>
  <c r="G64" i="1" s="1"/>
  <c r="H64" i="1" s="1"/>
  <c r="I64" i="1" s="1"/>
  <c r="J64" i="1" s="1"/>
  <c r="K64" i="1" s="1"/>
  <c r="L64" i="1" s="1"/>
  <c r="M64" i="1" s="1"/>
  <c r="C12" i="15"/>
  <c r="C37" i="1"/>
  <c r="C15" i="15"/>
  <c r="M2" i="25"/>
  <c r="M1" i="25"/>
  <c r="A41" i="7"/>
  <c r="A55" i="7"/>
  <c r="A51" i="7"/>
  <c r="A65" i="7"/>
  <c r="A50" i="7"/>
  <c r="A64" i="7"/>
  <c r="A49" i="7"/>
  <c r="A63" i="7"/>
  <c r="A48" i="7"/>
  <c r="A62" i="7"/>
  <c r="A47" i="7"/>
  <c r="A61" i="7"/>
  <c r="A46" i="7"/>
  <c r="A60" i="7"/>
  <c r="A45" i="7"/>
  <c r="A59" i="7"/>
  <c r="A44" i="7"/>
  <c r="A58" i="7"/>
  <c r="A43" i="7"/>
  <c r="A57" i="7"/>
  <c r="A42" i="7"/>
  <c r="A56" i="7"/>
  <c r="C7" i="20"/>
  <c r="C32" i="1"/>
  <c r="C45" i="1"/>
  <c r="M1" i="1"/>
  <c r="C53" i="9"/>
  <c r="C66" i="9"/>
  <c r="C79" i="9"/>
  <c r="C92" i="9"/>
  <c r="M1" i="20"/>
  <c r="M2" i="20"/>
  <c r="M1" i="18"/>
  <c r="M2" i="18"/>
  <c r="M1" i="15"/>
  <c r="M2" i="15"/>
  <c r="M1" i="11"/>
  <c r="L1" i="5"/>
  <c r="M2" i="3"/>
  <c r="M1" i="3"/>
  <c r="M2" i="4"/>
  <c r="M1" i="4"/>
  <c r="L2" i="2"/>
  <c r="L1" i="2"/>
  <c r="M2" i="9"/>
  <c r="M1" i="9"/>
  <c r="P2" i="6"/>
  <c r="P1" i="6"/>
  <c r="N2" i="7"/>
  <c r="N1" i="7"/>
  <c r="M2" i="1"/>
  <c r="M1" i="7"/>
  <c r="O1" i="6"/>
  <c r="K1" i="5"/>
  <c r="L1" i="11"/>
  <c r="E53" i="9"/>
  <c r="C11" i="18"/>
  <c r="D11" i="18"/>
  <c r="E98" i="25"/>
  <c r="E133" i="25"/>
  <c r="E126" i="25"/>
  <c r="D97" i="25"/>
  <c r="E97" i="25"/>
  <c r="E95" i="25" s="1"/>
  <c r="F97" i="25"/>
  <c r="G97" i="25"/>
  <c r="H97" i="25"/>
  <c r="I97" i="25"/>
  <c r="J97" i="25"/>
  <c r="K97" i="25"/>
  <c r="L97" i="25"/>
  <c r="M97" i="25"/>
  <c r="D77" i="11"/>
  <c r="D78" i="11"/>
  <c r="C77" i="11"/>
  <c r="C78" i="11"/>
  <c r="K54" i="9"/>
  <c r="J54" i="9"/>
  <c r="B7" i="29"/>
  <c r="D6" i="7"/>
  <c r="D86" i="7" s="1"/>
  <c r="D97" i="7" s="1"/>
  <c r="C72" i="28"/>
  <c r="H93" i="9"/>
  <c r="H94" i="9"/>
  <c r="H96" i="9"/>
  <c r="K93" i="9"/>
  <c r="G80" i="9"/>
  <c r="K80" i="9"/>
  <c r="D31" i="25"/>
  <c r="E105" i="25"/>
  <c r="D104" i="25"/>
  <c r="E104" i="25" s="1"/>
  <c r="F104" i="25" s="1"/>
  <c r="G104" i="25" s="1"/>
  <c r="H104" i="25" s="1"/>
  <c r="I104" i="25" s="1"/>
  <c r="J104" i="25" s="1"/>
  <c r="K104" i="25" s="1"/>
  <c r="L104" i="25" s="1"/>
  <c r="M104" i="25" s="1"/>
  <c r="D125" i="25"/>
  <c r="E125" i="25"/>
  <c r="F125" i="25"/>
  <c r="G125" i="25"/>
  <c r="H125" i="25"/>
  <c r="I125" i="25"/>
  <c r="J125" i="25"/>
  <c r="K125" i="25"/>
  <c r="L125" i="25"/>
  <c r="M125" i="25"/>
  <c r="D53" i="25"/>
  <c r="D132" i="25"/>
  <c r="E132" i="25"/>
  <c r="F132" i="25"/>
  <c r="B6" i="5"/>
  <c r="B25" i="5" s="1"/>
  <c r="C7" i="18"/>
  <c r="F12" i="6"/>
  <c r="C12" i="1"/>
  <c r="C7" i="9"/>
  <c r="C13" i="9" s="1"/>
  <c r="A26" i="9" s="1"/>
  <c r="C7" i="25"/>
  <c r="C33" i="25" s="1"/>
  <c r="C57" i="1"/>
  <c r="B7" i="2"/>
  <c r="C7" i="15"/>
  <c r="C47" i="11"/>
  <c r="C27" i="11"/>
  <c r="C68" i="11" s="1"/>
  <c r="D68" i="11" s="1"/>
  <c r="E68" i="11" s="1"/>
  <c r="F68" i="11" s="1"/>
  <c r="G68" i="11" s="1"/>
  <c r="H68" i="11" s="1"/>
  <c r="I68" i="11" s="1"/>
  <c r="J68" i="11" s="1"/>
  <c r="K68" i="11" s="1"/>
  <c r="L68" i="11" s="1"/>
  <c r="D28" i="9"/>
  <c r="E142" i="25"/>
  <c r="E54" i="9"/>
  <c r="B27" i="2"/>
  <c r="C15" i="20"/>
  <c r="F7" i="6"/>
  <c r="C7" i="4"/>
  <c r="D8" i="1"/>
  <c r="D45" i="1" s="1"/>
  <c r="E28" i="9"/>
  <c r="C12" i="20"/>
  <c r="F31" i="25"/>
  <c r="H67" i="9"/>
  <c r="G28" i="9"/>
  <c r="K28" i="9"/>
  <c r="M28" i="9"/>
  <c r="I41" i="9"/>
  <c r="G54" i="9"/>
  <c r="K67" i="9"/>
  <c r="L80" i="9"/>
  <c r="K31" i="25"/>
  <c r="G31" i="25"/>
  <c r="I67" i="9"/>
  <c r="H28" i="9"/>
  <c r="J41" i="9"/>
  <c r="F41" i="9"/>
  <c r="L54" i="9"/>
  <c r="L67" i="9"/>
  <c r="M80" i="9"/>
  <c r="I80" i="9"/>
  <c r="L31" i="25"/>
  <c r="H31" i="25"/>
  <c r="I28" i="9"/>
  <c r="J28" i="9"/>
  <c r="L28" i="9"/>
  <c r="F54" i="9"/>
  <c r="G41" i="9"/>
  <c r="M54" i="9"/>
  <c r="I54" i="9"/>
  <c r="M67" i="9"/>
  <c r="H80" i="9"/>
  <c r="J80" i="9"/>
  <c r="I93" i="9"/>
  <c r="M31" i="25"/>
  <c r="G67" i="9"/>
  <c r="L41" i="9"/>
  <c r="E163" i="25"/>
  <c r="E149" i="25"/>
  <c r="D148" i="25"/>
  <c r="D50" i="25"/>
  <c r="E50" i="25"/>
  <c r="F50" i="25"/>
  <c r="G50" i="25"/>
  <c r="H50" i="25"/>
  <c r="I50" i="25"/>
  <c r="J50" i="25"/>
  <c r="K50" i="25"/>
  <c r="L50" i="25"/>
  <c r="M50" i="25"/>
  <c r="C31" i="25"/>
  <c r="E31" i="25"/>
  <c r="D81" i="25"/>
  <c r="E81" i="25" s="1"/>
  <c r="F81" i="25" s="1"/>
  <c r="G81" i="25" s="1"/>
  <c r="H81" i="25" s="1"/>
  <c r="I81" i="25" s="1"/>
  <c r="J81" i="25" s="1"/>
  <c r="K81" i="25" s="1"/>
  <c r="L81" i="25" s="1"/>
  <c r="M81" i="25" s="1"/>
  <c r="E119" i="25"/>
  <c r="E112" i="25"/>
  <c r="E53" i="25"/>
  <c r="F53" i="25"/>
  <c r="G53" i="25"/>
  <c r="H53" i="25"/>
  <c r="I53" i="25"/>
  <c r="J53" i="25"/>
  <c r="K53" i="25"/>
  <c r="L53" i="25"/>
  <c r="M53" i="25"/>
  <c r="M41" i="9"/>
  <c r="H41" i="9"/>
  <c r="K163" i="25"/>
  <c r="F163" i="25"/>
  <c r="J163" i="25"/>
  <c r="L163" i="25"/>
  <c r="G163" i="25"/>
  <c r="M163" i="25"/>
  <c r="H163" i="25"/>
  <c r="I163" i="25"/>
  <c r="E60" i="7"/>
  <c r="D35" i="25"/>
  <c r="E35" i="25"/>
  <c r="I156" i="25"/>
  <c r="G156" i="25"/>
  <c r="E57" i="7"/>
  <c r="D49" i="25"/>
  <c r="K149" i="25"/>
  <c r="F149" i="25"/>
  <c r="J149" i="25"/>
  <c r="L149" i="25"/>
  <c r="G149" i="25"/>
  <c r="M149" i="25"/>
  <c r="H149" i="25"/>
  <c r="I149" i="25"/>
  <c r="K89" i="25"/>
  <c r="F89" i="25"/>
  <c r="J89" i="25"/>
  <c r="L89" i="25"/>
  <c r="G89" i="25"/>
  <c r="M89" i="25"/>
  <c r="H89" i="25"/>
  <c r="I89" i="25"/>
  <c r="K119" i="25"/>
  <c r="F119" i="25"/>
  <c r="J119" i="25"/>
  <c r="L119" i="25"/>
  <c r="G119" i="25"/>
  <c r="M119" i="25"/>
  <c r="H119" i="25"/>
  <c r="I119" i="25"/>
  <c r="H142" i="25"/>
  <c r="I142" i="25"/>
  <c r="J142" i="25"/>
  <c r="L142" i="25"/>
  <c r="M98" i="25"/>
  <c r="H98" i="25"/>
  <c r="I98" i="25"/>
  <c r="K98" i="25"/>
  <c r="F98" i="25"/>
  <c r="J98" i="25"/>
  <c r="L98" i="25"/>
  <c r="G98" i="25"/>
  <c r="H74" i="7"/>
  <c r="H92" i="7" s="1"/>
  <c r="K82" i="25"/>
  <c r="F82" i="25"/>
  <c r="J82" i="25"/>
  <c r="L82" i="25"/>
  <c r="G82" i="25"/>
  <c r="M82" i="25"/>
  <c r="H82" i="25"/>
  <c r="I82" i="25"/>
  <c r="K105" i="25"/>
  <c r="F105" i="25"/>
  <c r="J105" i="25"/>
  <c r="L105" i="25"/>
  <c r="G105" i="25"/>
  <c r="M105" i="25"/>
  <c r="H105" i="25"/>
  <c r="I105" i="25"/>
  <c r="M126" i="25"/>
  <c r="H126" i="25"/>
  <c r="I126" i="25"/>
  <c r="K126" i="25"/>
  <c r="F126" i="25"/>
  <c r="J126" i="25"/>
  <c r="L126" i="25"/>
  <c r="G126" i="25"/>
  <c r="K74" i="7"/>
  <c r="K92" i="7" s="1"/>
  <c r="G74" i="7"/>
  <c r="G92" i="7" s="1"/>
  <c r="C87" i="25"/>
  <c r="M112" i="25"/>
  <c r="K112" i="25"/>
  <c r="F112" i="25"/>
  <c r="G112" i="25"/>
  <c r="K133" i="25"/>
  <c r="F133" i="25"/>
  <c r="J133" i="25"/>
  <c r="L133" i="25"/>
  <c r="G133" i="25"/>
  <c r="M133" i="25"/>
  <c r="H133" i="25"/>
  <c r="I133" i="25"/>
  <c r="E49" i="25"/>
  <c r="F35" i="25"/>
  <c r="G35" i="25" s="1"/>
  <c r="E65" i="7"/>
  <c r="G43" i="7"/>
  <c r="G57" i="7"/>
  <c r="D7" i="20"/>
  <c r="D57" i="1"/>
  <c r="D32" i="1"/>
  <c r="G7" i="6"/>
  <c r="D47" i="11"/>
  <c r="D7" i="18"/>
  <c r="G12" i="6"/>
  <c r="D12" i="1"/>
  <c r="C7" i="29"/>
  <c r="D7" i="4"/>
  <c r="D7" i="25"/>
  <c r="D33" i="25" s="1"/>
  <c r="C6" i="5"/>
  <c r="D7" i="3"/>
  <c r="D27" i="11"/>
  <c r="D7" i="11" s="1"/>
  <c r="D7" i="15"/>
  <c r="D7" i="9"/>
  <c r="D13" i="9" s="1"/>
  <c r="A39" i="9" s="1"/>
  <c r="C7" i="2"/>
  <c r="E8" i="1"/>
  <c r="E7" i="25"/>
  <c r="E33" i="25" s="1"/>
  <c r="E6" i="7"/>
  <c r="E11" i="7"/>
  <c r="E40" i="7" s="1"/>
  <c r="E54" i="7" s="1"/>
  <c r="E118" i="25"/>
  <c r="F118" i="25" s="1"/>
  <c r="G118" i="25" s="1"/>
  <c r="H118" i="25" s="1"/>
  <c r="I118" i="25" s="1"/>
  <c r="J118" i="25" s="1"/>
  <c r="K118" i="25" s="1"/>
  <c r="L118" i="25" s="1"/>
  <c r="M118" i="25" s="1"/>
  <c r="E62" i="1"/>
  <c r="F62" i="1" s="1"/>
  <c r="G62" i="1" s="1"/>
  <c r="H62" i="1" s="1"/>
  <c r="I62" i="1" s="1"/>
  <c r="J62" i="1" s="1"/>
  <c r="K62" i="1" s="1"/>
  <c r="L62" i="1" s="1"/>
  <c r="M62" i="1" s="1"/>
  <c r="D66" i="1"/>
  <c r="D76" i="1"/>
  <c r="E41" i="9"/>
  <c r="D41" i="9"/>
  <c r="K41" i="9"/>
  <c r="D88" i="25"/>
  <c r="D86" i="25"/>
  <c r="D25" i="28"/>
  <c r="D36" i="28"/>
  <c r="D54" i="28" s="1"/>
  <c r="E34" i="1"/>
  <c r="C38" i="25"/>
  <c r="J93" i="9"/>
  <c r="M93" i="9"/>
  <c r="H54" i="9"/>
  <c r="L93" i="9"/>
  <c r="E45" i="1"/>
  <c r="D7" i="29"/>
  <c r="D7" i="2"/>
  <c r="C21" i="5"/>
  <c r="C10" i="5"/>
  <c r="C25" i="5"/>
  <c r="C16" i="5"/>
  <c r="F21" i="1"/>
  <c r="G22" i="1"/>
  <c r="H22" i="1" s="1"/>
  <c r="I22" i="1" s="1"/>
  <c r="D13" i="1"/>
  <c r="C29" i="1"/>
  <c r="C69" i="1" s="1"/>
  <c r="E50" i="1"/>
  <c r="F50" i="1" s="1"/>
  <c r="G50" i="1" s="1"/>
  <c r="H50" i="1" s="1"/>
  <c r="I50" i="1" s="1"/>
  <c r="J50" i="1" s="1"/>
  <c r="K50" i="1" s="1"/>
  <c r="L50" i="1" s="1"/>
  <c r="M50" i="1" s="1"/>
  <c r="D54" i="1"/>
  <c r="D75" i="1"/>
  <c r="D78" i="1"/>
  <c r="F34" i="1"/>
  <c r="G34" i="1" s="1"/>
  <c r="L38" i="1"/>
  <c r="M38" i="1"/>
  <c r="E148" i="25"/>
  <c r="F148" i="25"/>
  <c r="G148" i="25" s="1"/>
  <c r="H148" i="25" s="1"/>
  <c r="I148" i="25" s="1"/>
  <c r="J148" i="25" s="1"/>
  <c r="K148" i="25" s="1"/>
  <c r="L148" i="25" s="1"/>
  <c r="M148" i="25"/>
  <c r="E7" i="4"/>
  <c r="E7" i="3"/>
  <c r="E47" i="11"/>
  <c r="E57" i="1"/>
  <c r="E32" i="1"/>
  <c r="E7" i="9"/>
  <c r="E13" i="9" s="1"/>
  <c r="A52" i="9" s="1"/>
  <c r="E7" i="15"/>
  <c r="E27" i="11"/>
  <c r="E7" i="11"/>
  <c r="F8" i="1"/>
  <c r="F7" i="9" s="1"/>
  <c r="F13" i="9" s="1"/>
  <c r="A65" i="9" s="1"/>
  <c r="H7" i="6"/>
  <c r="E9" i="3"/>
  <c r="E22" i="4" s="1"/>
  <c r="F9" i="3"/>
  <c r="E58" i="1"/>
  <c r="F58" i="1" s="1"/>
  <c r="G58" i="1" s="1"/>
  <c r="E52" i="25"/>
  <c r="D111" i="25"/>
  <c r="E111" i="25"/>
  <c r="F111" i="25"/>
  <c r="G111" i="25"/>
  <c r="H111" i="25"/>
  <c r="I111" i="25"/>
  <c r="J111" i="25"/>
  <c r="K111" i="25"/>
  <c r="L111" i="25"/>
  <c r="M111" i="25"/>
  <c r="H112" i="25"/>
  <c r="J112" i="25"/>
  <c r="I112" i="25"/>
  <c r="L112" i="25"/>
  <c r="D141" i="25"/>
  <c r="E141" i="25"/>
  <c r="F141" i="25"/>
  <c r="G141" i="25"/>
  <c r="H141" i="25"/>
  <c r="I141" i="25"/>
  <c r="J141" i="25"/>
  <c r="K141" i="25"/>
  <c r="L141" i="25"/>
  <c r="M141" i="25"/>
  <c r="K142" i="25"/>
  <c r="G142" i="25"/>
  <c r="M142" i="25"/>
  <c r="F142" i="25"/>
  <c r="E156" i="25"/>
  <c r="M156" i="25"/>
  <c r="D155" i="25"/>
  <c r="E155" i="25"/>
  <c r="H156" i="25"/>
  <c r="B16" i="5"/>
  <c r="B21" i="5"/>
  <c r="B10" i="5"/>
  <c r="F63" i="7"/>
  <c r="E63" i="7"/>
  <c r="K29" i="25"/>
  <c r="K19" i="18" s="1"/>
  <c r="H49" i="7"/>
  <c r="E66" i="1"/>
  <c r="E76" i="1"/>
  <c r="K19" i="20"/>
  <c r="F52" i="25"/>
  <c r="G52" i="25"/>
  <c r="H52" i="25" s="1"/>
  <c r="I52" i="25" s="1"/>
  <c r="J52" i="25"/>
  <c r="K52" i="25" s="1"/>
  <c r="L52" i="25" s="1"/>
  <c r="M52" i="25" s="1"/>
  <c r="F7" i="4"/>
  <c r="E7" i="2"/>
  <c r="G8" i="1"/>
  <c r="G57" i="1" s="1"/>
  <c r="F37" i="25"/>
  <c r="H34" i="1"/>
  <c r="I34" i="1" s="1"/>
  <c r="J34" i="1" s="1"/>
  <c r="F66" i="1"/>
  <c r="F76" i="1"/>
  <c r="G37" i="25"/>
  <c r="G32" i="1"/>
  <c r="H37" i="25"/>
  <c r="I37" i="25"/>
  <c r="J37" i="25"/>
  <c r="K37" i="25"/>
  <c r="L37" i="25"/>
  <c r="M37" i="25"/>
  <c r="C178" i="25"/>
  <c r="D178" i="25" s="1"/>
  <c r="E178" i="25" s="1"/>
  <c r="F178" i="25" s="1"/>
  <c r="G178" i="25" s="1"/>
  <c r="H178" i="25" s="1"/>
  <c r="I178" i="25" s="1"/>
  <c r="J178" i="25" s="1"/>
  <c r="K178" i="25" s="1"/>
  <c r="L178" i="25" s="1"/>
  <c r="M178" i="25" s="1"/>
  <c r="D72" i="28"/>
  <c r="E25" i="28"/>
  <c r="E36" i="28"/>
  <c r="H6" i="7"/>
  <c r="H86" i="7"/>
  <c r="H97" i="7" s="1"/>
  <c r="I7" i="6"/>
  <c r="F27" i="11"/>
  <c r="F7" i="11" s="1"/>
  <c r="F32" i="1"/>
  <c r="F7" i="3"/>
  <c r="E6" i="5"/>
  <c r="E10" i="5"/>
  <c r="D69" i="7"/>
  <c r="F7" i="29"/>
  <c r="F47" i="11"/>
  <c r="F7" i="15"/>
  <c r="F57" i="1"/>
  <c r="E7" i="29"/>
  <c r="F25" i="28"/>
  <c r="G25" i="28" s="1"/>
  <c r="E54" i="28"/>
  <c r="E16" i="5"/>
  <c r="C53" i="11"/>
  <c r="C11" i="11" s="1"/>
  <c r="J7" i="6"/>
  <c r="E25" i="5"/>
  <c r="H11" i="7"/>
  <c r="H40" i="7" s="1"/>
  <c r="H54" i="7" s="1"/>
  <c r="G7" i="18"/>
  <c r="G7" i="3"/>
  <c r="C77" i="25"/>
  <c r="C171" i="25"/>
  <c r="D171" i="25" s="1"/>
  <c r="E171" i="25" s="1"/>
  <c r="F171" i="25" s="1"/>
  <c r="G171" i="25" s="1"/>
  <c r="H171" i="25" s="1"/>
  <c r="I171" i="25" s="1"/>
  <c r="J171" i="25" s="1"/>
  <c r="K171" i="25" s="1"/>
  <c r="L171" i="25" s="1"/>
  <c r="M171" i="25" s="1"/>
  <c r="H8" i="1"/>
  <c r="H57" i="1" s="1"/>
  <c r="J12" i="6"/>
  <c r="G12" i="1"/>
  <c r="E21" i="5"/>
  <c r="H69" i="7"/>
  <c r="G7" i="20"/>
  <c r="F7" i="2"/>
  <c r="G7" i="4"/>
  <c r="E86" i="7"/>
  <c r="E97" i="7" s="1"/>
  <c r="G27" i="11"/>
  <c r="G7" i="11" s="1"/>
  <c r="G7" i="15"/>
  <c r="G7" i="25"/>
  <c r="G33" i="25" s="1"/>
  <c r="E69" i="7"/>
  <c r="D11" i="7"/>
  <c r="D40" i="7"/>
  <c r="D54" i="7" s="1"/>
  <c r="H43" i="7"/>
  <c r="F72" i="28"/>
  <c r="F36" i="28"/>
  <c r="F54" i="28" s="1"/>
  <c r="A80" i="25"/>
  <c r="D77" i="25"/>
  <c r="E77" i="25"/>
  <c r="F77" i="25" s="1"/>
  <c r="G77" i="25" s="1"/>
  <c r="H77" i="25" s="1"/>
  <c r="I77" i="25" s="1"/>
  <c r="J77" i="25" s="1"/>
  <c r="K77" i="25" s="1"/>
  <c r="L77" i="25" s="1"/>
  <c r="M77" i="25" s="1"/>
  <c r="E72" i="28"/>
  <c r="H32" i="1"/>
  <c r="G47" i="11"/>
  <c r="F6" i="5"/>
  <c r="G7" i="9"/>
  <c r="G13" i="9" s="1"/>
  <c r="A78" i="9" s="1"/>
  <c r="G45" i="1"/>
  <c r="K8" i="9"/>
  <c r="K10" i="9" s="1"/>
  <c r="F7" i="25"/>
  <c r="F33" i="25" s="1"/>
  <c r="F7" i="18"/>
  <c r="G6" i="7"/>
  <c r="F45" i="1"/>
  <c r="F7" i="20"/>
  <c r="F49" i="25"/>
  <c r="C86" i="25"/>
  <c r="E87" i="25"/>
  <c r="L156" i="25"/>
  <c r="K156" i="25"/>
  <c r="F156" i="25"/>
  <c r="J156" i="25"/>
  <c r="E62" i="7"/>
  <c r="F40" i="25"/>
  <c r="D6" i="5"/>
  <c r="D10" i="5" s="1"/>
  <c r="E7" i="20"/>
  <c r="F6" i="7"/>
  <c r="F69" i="7" s="1"/>
  <c r="E7" i="18"/>
  <c r="F74" i="7"/>
  <c r="F92" i="7" s="1"/>
  <c r="N74" i="7"/>
  <c r="N92" i="7" s="1"/>
  <c r="M29" i="25"/>
  <c r="J29" i="25"/>
  <c r="J8" i="9" s="1"/>
  <c r="J10" i="9" s="1"/>
  <c r="J31" i="25"/>
  <c r="H29" i="25"/>
  <c r="H19" i="18" s="1"/>
  <c r="G29" i="25"/>
  <c r="K7" i="6"/>
  <c r="K12" i="6"/>
  <c r="H7" i="15"/>
  <c r="H7" i="3"/>
  <c r="D16" i="5"/>
  <c r="G40" i="25"/>
  <c r="A87" i="25"/>
  <c r="A96" i="25" s="1"/>
  <c r="A103" i="25" s="1"/>
  <c r="A81" i="25"/>
  <c r="A88" i="25" s="1"/>
  <c r="A97" i="25" s="1"/>
  <c r="A104" i="25" s="1"/>
  <c r="G49" i="25"/>
  <c r="F10" i="5"/>
  <c r="F21" i="5"/>
  <c r="F16" i="5"/>
  <c r="F25" i="5"/>
  <c r="J19" i="18"/>
  <c r="J19" i="20"/>
  <c r="G69" i="7"/>
  <c r="G86" i="7"/>
  <c r="G97" i="7" s="1"/>
  <c r="G11" i="7"/>
  <c r="G40" i="7" s="1"/>
  <c r="G54" i="7" s="1"/>
  <c r="K34" i="1"/>
  <c r="L34" i="1" s="1"/>
  <c r="M34" i="1" s="1"/>
  <c r="H49" i="25"/>
  <c r="D21" i="1"/>
  <c r="H40" i="25"/>
  <c r="I49" i="25"/>
  <c r="I40" i="25"/>
  <c r="J40" i="25"/>
  <c r="J49" i="25"/>
  <c r="K49" i="25"/>
  <c r="K40" i="25"/>
  <c r="L49" i="25"/>
  <c r="L40" i="25"/>
  <c r="M49" i="25"/>
  <c r="M40" i="25"/>
  <c r="F162" i="25"/>
  <c r="G162" i="25"/>
  <c r="H162" i="25"/>
  <c r="I162" i="25"/>
  <c r="J162" i="25"/>
  <c r="K162" i="25"/>
  <c r="L162" i="25"/>
  <c r="M162" i="25"/>
  <c r="F155" i="25"/>
  <c r="G132" i="25"/>
  <c r="H132" i="25"/>
  <c r="I132" i="25"/>
  <c r="J132" i="25"/>
  <c r="K132" i="25"/>
  <c r="E55" i="7"/>
  <c r="E88" i="7" s="1"/>
  <c r="E99" i="7" s="1"/>
  <c r="D89" i="7"/>
  <c r="D100" i="7" s="1"/>
  <c r="E40" i="1"/>
  <c r="F40" i="1" s="1"/>
  <c r="G155" i="25"/>
  <c r="H155" i="25"/>
  <c r="I155" i="25"/>
  <c r="J155" i="25"/>
  <c r="K155" i="25"/>
  <c r="L155" i="25"/>
  <c r="M155" i="25"/>
  <c r="L132" i="25"/>
  <c r="M132" i="25"/>
  <c r="D51" i="25"/>
  <c r="D54" i="25" s="1"/>
  <c r="D42" i="25"/>
  <c r="E42" i="25" s="1"/>
  <c r="F42" i="25" s="1"/>
  <c r="G42" i="25" s="1"/>
  <c r="H42" i="25" s="1"/>
  <c r="I42" i="25" s="1"/>
  <c r="J42" i="25" s="1"/>
  <c r="K42" i="25" s="1"/>
  <c r="L42" i="25" s="1"/>
  <c r="M42" i="25" s="1"/>
  <c r="G51" i="7"/>
  <c r="F65" i="7"/>
  <c r="F62" i="7"/>
  <c r="G48" i="7"/>
  <c r="I49" i="7"/>
  <c r="H63" i="7"/>
  <c r="F56" i="7"/>
  <c r="G42" i="7"/>
  <c r="E56" i="7"/>
  <c r="G46" i="7"/>
  <c r="G60" i="7" s="1"/>
  <c r="F45" i="7"/>
  <c r="G45" i="7" s="1"/>
  <c r="M7" i="7"/>
  <c r="F87" i="25"/>
  <c r="G87" i="25"/>
  <c r="H87" i="25"/>
  <c r="I87" i="25"/>
  <c r="J87" i="25"/>
  <c r="K87" i="25"/>
  <c r="L87" i="25"/>
  <c r="M87" i="25"/>
  <c r="E88" i="25"/>
  <c r="F88" i="25"/>
  <c r="G88" i="25"/>
  <c r="H88" i="25"/>
  <c r="I88" i="25"/>
  <c r="J88" i="25"/>
  <c r="K88" i="25"/>
  <c r="L88" i="25"/>
  <c r="M88" i="25"/>
  <c r="G86" i="25"/>
  <c r="E51" i="25"/>
  <c r="H48" i="7"/>
  <c r="I48" i="7" s="1"/>
  <c r="I62" i="7" s="1"/>
  <c r="G62" i="7"/>
  <c r="F59" i="7"/>
  <c r="H46" i="7"/>
  <c r="H60" i="7" s="1"/>
  <c r="N7" i="7"/>
  <c r="F86" i="25"/>
  <c r="E86" i="25"/>
  <c r="H86" i="25"/>
  <c r="I46" i="7"/>
  <c r="J46" i="7" s="1"/>
  <c r="K46" i="7" s="1"/>
  <c r="H62" i="7"/>
  <c r="I86" i="25"/>
  <c r="J48" i="7"/>
  <c r="I60" i="7"/>
  <c r="J86" i="25"/>
  <c r="K86" i="25"/>
  <c r="L86" i="25"/>
  <c r="M86" i="25"/>
  <c r="F13" i="1"/>
  <c r="E13" i="1"/>
  <c r="E37" i="1"/>
  <c r="E15" i="15" s="1"/>
  <c r="D77" i="1"/>
  <c r="E54" i="1"/>
  <c r="E75" i="1" s="1"/>
  <c r="E59" i="9"/>
  <c r="F53" i="9" s="1"/>
  <c r="F55" i="9" s="1"/>
  <c r="F57" i="9" s="1"/>
  <c r="F68" i="9"/>
  <c r="F70" i="9"/>
  <c r="F71" i="9"/>
  <c r="G85" i="9"/>
  <c r="H82" i="9"/>
  <c r="G81" i="9"/>
  <c r="H98" i="9"/>
  <c r="I95" i="9"/>
  <c r="H97" i="9"/>
  <c r="G66" i="9"/>
  <c r="G68" i="9"/>
  <c r="G70" i="9"/>
  <c r="G71" i="9"/>
  <c r="G72" i="9"/>
  <c r="H69" i="9"/>
  <c r="D46" i="9"/>
  <c r="D42" i="9"/>
  <c r="D139" i="25"/>
  <c r="G13" i="1"/>
  <c r="F56" i="9"/>
  <c r="F59" i="9" s="1"/>
  <c r="E40" i="9"/>
  <c r="E43" i="9"/>
  <c r="H79" i="9"/>
  <c r="I92" i="9"/>
  <c r="G83" i="9"/>
  <c r="G84" i="9"/>
  <c r="H66" i="9"/>
  <c r="D44" i="9"/>
  <c r="F96" i="25"/>
  <c r="F95" i="25" s="1"/>
  <c r="F58" i="9"/>
  <c r="I94" i="9"/>
  <c r="I98" i="9"/>
  <c r="H85" i="9"/>
  <c r="I82" i="9"/>
  <c r="H81" i="9"/>
  <c r="H72" i="9"/>
  <c r="I69" i="9"/>
  <c r="H68" i="9"/>
  <c r="G56" i="9"/>
  <c r="G53" i="9"/>
  <c r="G55" i="9" s="1"/>
  <c r="I96" i="9"/>
  <c r="I97" i="9"/>
  <c r="H83" i="9"/>
  <c r="H84" i="9"/>
  <c r="I79" i="9"/>
  <c r="I81" i="9"/>
  <c r="J95" i="9"/>
  <c r="J92" i="9"/>
  <c r="H70" i="9"/>
  <c r="H71" i="9"/>
  <c r="I66" i="9"/>
  <c r="G59" i="9"/>
  <c r="H56" i="9" s="1"/>
  <c r="I85" i="9"/>
  <c r="I83" i="9"/>
  <c r="I84" i="9"/>
  <c r="J94" i="9"/>
  <c r="J98" i="9"/>
  <c r="K95" i="9"/>
  <c r="I72" i="9"/>
  <c r="J69" i="9"/>
  <c r="I68" i="9"/>
  <c r="J79" i="9"/>
  <c r="J82" i="9"/>
  <c r="J85" i="9" s="1"/>
  <c r="K82" i="9" s="1"/>
  <c r="K92" i="9"/>
  <c r="J81" i="9"/>
  <c r="J83" i="9"/>
  <c r="J84" i="9"/>
  <c r="J96" i="9"/>
  <c r="J97" i="9"/>
  <c r="I70" i="9"/>
  <c r="I71" i="9"/>
  <c r="J66" i="9"/>
  <c r="K98" i="9"/>
  <c r="L95" i="9"/>
  <c r="K94" i="9"/>
  <c r="K79" i="9"/>
  <c r="J68" i="9"/>
  <c r="J72" i="9"/>
  <c r="K69" i="9"/>
  <c r="K85" i="9"/>
  <c r="L82" i="9"/>
  <c r="K81" i="9"/>
  <c r="K83" i="9"/>
  <c r="K84" i="9"/>
  <c r="K96" i="9"/>
  <c r="K97" i="9"/>
  <c r="L92" i="9"/>
  <c r="K66" i="9"/>
  <c r="J70" i="9"/>
  <c r="J71" i="9"/>
  <c r="L98" i="9"/>
  <c r="M95" i="9"/>
  <c r="L94" i="9"/>
  <c r="L79" i="9"/>
  <c r="K72" i="9"/>
  <c r="L69" i="9"/>
  <c r="K68" i="9"/>
  <c r="L96" i="9"/>
  <c r="L97" i="9"/>
  <c r="M92" i="9"/>
  <c r="L85" i="9"/>
  <c r="M82" i="9"/>
  <c r="L81" i="9"/>
  <c r="L83" i="9"/>
  <c r="L84" i="9"/>
  <c r="K70" i="9"/>
  <c r="K71" i="9"/>
  <c r="L66" i="9"/>
  <c r="M98" i="9"/>
  <c r="M94" i="9"/>
  <c r="M79" i="9"/>
  <c r="L72" i="9"/>
  <c r="M69" i="9"/>
  <c r="L68" i="9"/>
  <c r="M85" i="9"/>
  <c r="M81" i="9"/>
  <c r="M96" i="9"/>
  <c r="M97" i="9"/>
  <c r="L70" i="9"/>
  <c r="L71" i="9"/>
  <c r="M66" i="9"/>
  <c r="M83" i="9"/>
  <c r="M84" i="9"/>
  <c r="M68" i="9"/>
  <c r="M72" i="9"/>
  <c r="M70" i="9"/>
  <c r="M71" i="9"/>
  <c r="C140" i="25"/>
  <c r="C139" i="25" s="1"/>
  <c r="C96" i="25"/>
  <c r="C95" i="25" s="1"/>
  <c r="C161" i="25"/>
  <c r="C160" i="25" s="1"/>
  <c r="E161" i="25"/>
  <c r="C80" i="25"/>
  <c r="D80" i="25" s="1"/>
  <c r="D95" i="25"/>
  <c r="D130" i="25"/>
  <c r="E131" i="25"/>
  <c r="F43" i="6"/>
  <c r="L8" i="6"/>
  <c r="M8" i="6" s="1"/>
  <c r="N8" i="6" s="1"/>
  <c r="O8" i="6" s="1"/>
  <c r="P8" i="6" s="1"/>
  <c r="H43" i="6"/>
  <c r="D14" i="2" s="1"/>
  <c r="G140" i="25"/>
  <c r="H140" i="25" s="1"/>
  <c r="I140" i="25" s="1"/>
  <c r="J140" i="25" s="1"/>
  <c r="K140" i="25" s="1"/>
  <c r="L140" i="25" s="1"/>
  <c r="M140" i="25" s="1"/>
  <c r="M139" i="25" s="1"/>
  <c r="G139" i="25"/>
  <c r="H139" i="25"/>
  <c r="I43" i="6"/>
  <c r="E14" i="2" s="1"/>
  <c r="J139" i="25"/>
  <c r="K139" i="25"/>
  <c r="L139" i="25"/>
  <c r="E55" i="9" l="1"/>
  <c r="D29" i="25"/>
  <c r="D19" i="18" s="1"/>
  <c r="C44" i="28"/>
  <c r="C45" i="28"/>
  <c r="C81" i="28" s="1"/>
  <c r="C46" i="28"/>
  <c r="C82" i="28" s="1"/>
  <c r="D45" i="28"/>
  <c r="D81" i="28" s="1"/>
  <c r="D46" i="28"/>
  <c r="D82" i="28" s="1"/>
  <c r="F139" i="25"/>
  <c r="H14" i="1"/>
  <c r="G26" i="28"/>
  <c r="G33" i="28" s="1"/>
  <c r="F46" i="28"/>
  <c r="F82" i="28" s="1"/>
  <c r="F45" i="28"/>
  <c r="F81" i="28" s="1"/>
  <c r="G46" i="28"/>
  <c r="G82" i="28" s="1"/>
  <c r="G45" i="28"/>
  <c r="G81" i="28" s="1"/>
  <c r="F42" i="28"/>
  <c r="F78" i="28" s="1"/>
  <c r="G90" i="28"/>
  <c r="E46" i="28"/>
  <c r="E82" i="28" s="1"/>
  <c r="E45" i="28"/>
  <c r="E81" i="28" s="1"/>
  <c r="I18" i="1"/>
  <c r="J18" i="1" s="1"/>
  <c r="K18" i="1" s="1"/>
  <c r="L18" i="1" s="1"/>
  <c r="M18" i="1" s="1"/>
  <c r="D53" i="11"/>
  <c r="D11" i="11" s="1"/>
  <c r="D12" i="11" s="1"/>
  <c r="E78" i="1"/>
  <c r="E77" i="1"/>
  <c r="H53" i="9"/>
  <c r="G57" i="9"/>
  <c r="G58" i="9" s="1"/>
  <c r="G9" i="3"/>
  <c r="F22" i="4"/>
  <c r="E41" i="25"/>
  <c r="D47" i="25"/>
  <c r="C102" i="25"/>
  <c r="D103" i="25"/>
  <c r="E39" i="28"/>
  <c r="E75" i="28" s="1"/>
  <c r="E40" i="28"/>
  <c r="E76" i="28" s="1"/>
  <c r="E37" i="28"/>
  <c r="E73" i="28" s="1"/>
  <c r="E44" i="28"/>
  <c r="E80" i="28" s="1"/>
  <c r="E38" i="28"/>
  <c r="E74" i="28" s="1"/>
  <c r="E41" i="28"/>
  <c r="E77" i="28" s="1"/>
  <c r="C110" i="25"/>
  <c r="C109" i="25" s="1"/>
  <c r="C131" i="25"/>
  <c r="C130" i="25" s="1"/>
  <c r="C147" i="25"/>
  <c r="C154" i="25"/>
  <c r="C117" i="25"/>
  <c r="C124" i="25"/>
  <c r="D124" i="25" s="1"/>
  <c r="L29" i="25"/>
  <c r="E54" i="25"/>
  <c r="F51" i="25"/>
  <c r="C41" i="1"/>
  <c r="C70" i="1" s="1"/>
  <c r="F54" i="1"/>
  <c r="F75" i="1" s="1"/>
  <c r="G46" i="1"/>
  <c r="D27" i="9"/>
  <c r="C101" i="9"/>
  <c r="C39" i="4" s="1"/>
  <c r="D19" i="20"/>
  <c r="G19" i="18"/>
  <c r="G19" i="20"/>
  <c r="M19" i="20"/>
  <c r="M8" i="9"/>
  <c r="M10" i="9" s="1"/>
  <c r="F161" i="25"/>
  <c r="E160" i="25"/>
  <c r="D45" i="9"/>
  <c r="E130" i="25"/>
  <c r="F131" i="25"/>
  <c r="E42" i="9"/>
  <c r="E46" i="9"/>
  <c r="E57" i="9"/>
  <c r="E58" i="9" s="1"/>
  <c r="D37" i="28"/>
  <c r="D73" i="28" s="1"/>
  <c r="D41" i="28"/>
  <c r="D77" i="28" s="1"/>
  <c r="D44" i="28"/>
  <c r="D80" i="28" s="1"/>
  <c r="D39" i="28"/>
  <c r="D75" i="28" s="1"/>
  <c r="D40" i="28"/>
  <c r="D76" i="28" s="1"/>
  <c r="D38" i="28"/>
  <c r="D74" i="28" s="1"/>
  <c r="I29" i="25"/>
  <c r="I8" i="9" s="1"/>
  <c r="I10" i="9" s="1"/>
  <c r="D30" i="9"/>
  <c r="D104" i="9" s="1"/>
  <c r="D23" i="20" s="1"/>
  <c r="C29" i="9"/>
  <c r="C31" i="9" s="1"/>
  <c r="C32" i="9" s="1"/>
  <c r="G45" i="6"/>
  <c r="G47" i="6"/>
  <c r="C11" i="29" s="1"/>
  <c r="G51" i="6"/>
  <c r="H47" i="6"/>
  <c r="D11" i="29" s="1"/>
  <c r="H51" i="6"/>
  <c r="H53" i="6" s="1"/>
  <c r="H45" i="6"/>
  <c r="F44" i="28"/>
  <c r="F80" i="28" s="1"/>
  <c r="F39" i="28"/>
  <c r="F75" i="28" s="1"/>
  <c r="F37" i="28"/>
  <c r="F73" i="28" s="1"/>
  <c r="F41" i="28"/>
  <c r="F77" i="28" s="1"/>
  <c r="F38" i="28"/>
  <c r="F74" i="28" s="1"/>
  <c r="F40" i="28"/>
  <c r="F76" i="28" s="1"/>
  <c r="F45" i="6"/>
  <c r="F51" i="6"/>
  <c r="F53" i="6" s="1"/>
  <c r="F47" i="6"/>
  <c r="B11" i="29" s="1"/>
  <c r="J13" i="6"/>
  <c r="I51" i="6"/>
  <c r="I45" i="6"/>
  <c r="I47" i="6"/>
  <c r="E11" i="29" s="1"/>
  <c r="D109" i="25"/>
  <c r="C13" i="15"/>
  <c r="C47" i="25"/>
  <c r="C38" i="28"/>
  <c r="C74" i="28" s="1"/>
  <c r="C39" i="28"/>
  <c r="C75" i="28" s="1"/>
  <c r="C80" i="28"/>
  <c r="C41" i="28"/>
  <c r="C77" i="28" s="1"/>
  <c r="C37" i="28"/>
  <c r="C73" i="28" s="1"/>
  <c r="C40" i="28"/>
  <c r="C76" i="28" s="1"/>
  <c r="G44" i="28"/>
  <c r="G80" i="28" s="1"/>
  <c r="G38" i="28"/>
  <c r="G74" i="28" s="1"/>
  <c r="G41" i="28"/>
  <c r="G77" i="28" s="1"/>
  <c r="G40" i="28"/>
  <c r="G76" i="28" s="1"/>
  <c r="G37" i="28"/>
  <c r="G73" i="28" s="1"/>
  <c r="G39" i="28"/>
  <c r="G75" i="28" s="1"/>
  <c r="I19" i="18"/>
  <c r="M19" i="18"/>
  <c r="H19" i="20"/>
  <c r="G59" i="7"/>
  <c r="H45" i="7"/>
  <c r="F37" i="1"/>
  <c r="F15" i="15" s="1"/>
  <c r="G40" i="1"/>
  <c r="J22" i="1"/>
  <c r="L46" i="7"/>
  <c r="K60" i="7"/>
  <c r="I139" i="25"/>
  <c r="B14" i="2"/>
  <c r="G96" i="25"/>
  <c r="J60" i="7"/>
  <c r="I43" i="7"/>
  <c r="H57" i="7"/>
  <c r="F50" i="7"/>
  <c r="E64" i="7"/>
  <c r="G61" i="7"/>
  <c r="H47" i="7"/>
  <c r="C123" i="25"/>
  <c r="J62" i="7"/>
  <c r="K48" i="7"/>
  <c r="I63" i="7"/>
  <c r="J49" i="7"/>
  <c r="G65" i="7"/>
  <c r="H51" i="7"/>
  <c r="H42" i="7"/>
  <c r="G56" i="7"/>
  <c r="E109" i="25"/>
  <c r="F110" i="25"/>
  <c r="E58" i="7"/>
  <c r="E72" i="7" s="1"/>
  <c r="E139" i="25"/>
  <c r="E71" i="7"/>
  <c r="E25" i="1"/>
  <c r="E12" i="15" s="1"/>
  <c r="G43" i="6"/>
  <c r="C14" i="2" s="1"/>
  <c r="F36" i="1"/>
  <c r="G36" i="1" s="1"/>
  <c r="G33" i="1" s="1"/>
  <c r="E33" i="1"/>
  <c r="E41" i="1" s="1"/>
  <c r="E70" i="1" s="1"/>
  <c r="D33" i="1"/>
  <c r="D41" i="1" s="1"/>
  <c r="D70" i="1" s="1"/>
  <c r="F28" i="1"/>
  <c r="F25" i="1" s="1"/>
  <c r="F12" i="15" s="1"/>
  <c r="D25" i="1"/>
  <c r="D12" i="15" s="1"/>
  <c r="H36" i="1"/>
  <c r="G51" i="11"/>
  <c r="F53" i="11"/>
  <c r="F11" i="11" s="1"/>
  <c r="E17" i="1"/>
  <c r="G20" i="1"/>
  <c r="F33" i="1"/>
  <c r="E53" i="11"/>
  <c r="E11" i="11" s="1"/>
  <c r="H13" i="1"/>
  <c r="C72" i="1"/>
  <c r="C71" i="1"/>
  <c r="E80" i="25"/>
  <c r="D79" i="25"/>
  <c r="D93" i="25" s="1"/>
  <c r="D38" i="25"/>
  <c r="E36" i="25"/>
  <c r="H35" i="25"/>
  <c r="F58" i="7"/>
  <c r="C29" i="25"/>
  <c r="E89" i="7"/>
  <c r="E101" i="7" s="1"/>
  <c r="D31" i="3" s="1"/>
  <c r="C79" i="25"/>
  <c r="C93" i="25" s="1"/>
  <c r="F55" i="7"/>
  <c r="D66" i="7"/>
  <c r="D73" i="7" s="1"/>
  <c r="D91" i="7" s="1"/>
  <c r="A110" i="25"/>
  <c r="A117" i="25" s="1"/>
  <c r="A124" i="25" s="1"/>
  <c r="A131" i="25" s="1"/>
  <c r="A140" i="25"/>
  <c r="A147" i="25" s="1"/>
  <c r="A154" i="25" s="1"/>
  <c r="A161" i="25" s="1"/>
  <c r="H27" i="11"/>
  <c r="H7" i="11" s="1"/>
  <c r="G7" i="2"/>
  <c r="H7" i="4"/>
  <c r="H47" i="11"/>
  <c r="G7" i="29"/>
  <c r="A82" i="25"/>
  <c r="H7" i="18"/>
  <c r="H7" i="25"/>
  <c r="H33" i="25" s="1"/>
  <c r="G6" i="5"/>
  <c r="H12" i="1"/>
  <c r="I6" i="7"/>
  <c r="D21" i="5"/>
  <c r="D25" i="5"/>
  <c r="I8" i="1"/>
  <c r="H7" i="9"/>
  <c r="H13" i="9" s="1"/>
  <c r="A91" i="9" s="1"/>
  <c r="F11" i="7"/>
  <c r="F40" i="7" s="1"/>
  <c r="F54" i="7" s="1"/>
  <c r="H45" i="1"/>
  <c r="F86" i="7"/>
  <c r="F97" i="7" s="1"/>
  <c r="H7" i="20"/>
  <c r="D71" i="7"/>
  <c r="D72" i="7"/>
  <c r="E66" i="7"/>
  <c r="E73" i="7" s="1"/>
  <c r="E91" i="7" s="1"/>
  <c r="D101" i="7"/>
  <c r="C31" i="3" s="1"/>
  <c r="E92" i="7"/>
  <c r="D99" i="7"/>
  <c r="C30" i="3" s="1"/>
  <c r="A141" i="25"/>
  <c r="A148" i="25" s="1"/>
  <c r="A155" i="25" s="1"/>
  <c r="A162" i="25" s="1"/>
  <c r="A111" i="25"/>
  <c r="A118" i="25" s="1"/>
  <c r="A125" i="25" s="1"/>
  <c r="A132" i="25" s="1"/>
  <c r="H25" i="28"/>
  <c r="G36" i="28"/>
  <c r="G54" i="28" s="1"/>
  <c r="G72" i="28"/>
  <c r="C7" i="11"/>
  <c r="J43" i="6"/>
  <c r="K13" i="6"/>
  <c r="G66" i="1"/>
  <c r="G76" i="1" s="1"/>
  <c r="H58" i="1"/>
  <c r="F12" i="1"/>
  <c r="I12" i="6"/>
  <c r="E12" i="1"/>
  <c r="H12" i="6"/>
  <c r="C78" i="1"/>
  <c r="C82" i="1" s="1"/>
  <c r="C77" i="1"/>
  <c r="C80" i="1" s="1"/>
  <c r="E29" i="25"/>
  <c r="C54" i="25"/>
  <c r="F29" i="25"/>
  <c r="F87" i="28" l="1"/>
  <c r="D87" i="28"/>
  <c r="I14" i="1"/>
  <c r="J14" i="1" s="1"/>
  <c r="K14" i="1" s="1"/>
  <c r="L14" i="1" s="1"/>
  <c r="M14" i="1" s="1"/>
  <c r="H26" i="28"/>
  <c r="G87" i="28"/>
  <c r="E87" i="28"/>
  <c r="I49" i="6"/>
  <c r="D54" i="11"/>
  <c r="E54" i="11" s="1"/>
  <c r="F54" i="11" s="1"/>
  <c r="E12" i="11"/>
  <c r="F12" i="11" s="1"/>
  <c r="C87" i="28"/>
  <c r="H49" i="6"/>
  <c r="C103" i="9"/>
  <c r="B28" i="2" s="1"/>
  <c r="C24" i="20" s="1"/>
  <c r="F40" i="9"/>
  <c r="F43" i="9"/>
  <c r="G49" i="6"/>
  <c r="C116" i="25"/>
  <c r="C137" i="25" s="1"/>
  <c r="D117" i="25"/>
  <c r="F160" i="25"/>
  <c r="G161" i="25"/>
  <c r="G54" i="1"/>
  <c r="G75" i="1" s="1"/>
  <c r="G78" i="1" s="1"/>
  <c r="H46" i="1"/>
  <c r="G51" i="25"/>
  <c r="F54" i="25"/>
  <c r="E103" i="25"/>
  <c r="D102" i="25"/>
  <c r="K45" i="6"/>
  <c r="K47" i="6"/>
  <c r="G11" i="29" s="1"/>
  <c r="K51" i="6"/>
  <c r="I19" i="20"/>
  <c r="E44" i="9"/>
  <c r="E45" i="9" s="1"/>
  <c r="D14" i="15"/>
  <c r="D13" i="15" s="1"/>
  <c r="F49" i="6"/>
  <c r="F130" i="25"/>
  <c r="G131" i="25"/>
  <c r="C69" i="11"/>
  <c r="C37" i="4"/>
  <c r="D154" i="25"/>
  <c r="C153" i="25"/>
  <c r="G22" i="4"/>
  <c r="H9" i="3"/>
  <c r="F78" i="1"/>
  <c r="F77" i="1"/>
  <c r="H55" i="9"/>
  <c r="H59" i="9"/>
  <c r="G77" i="1"/>
  <c r="J45" i="6"/>
  <c r="J47" i="6"/>
  <c r="F11" i="29" s="1"/>
  <c r="J51" i="6"/>
  <c r="J53" i="6" s="1"/>
  <c r="D29" i="9"/>
  <c r="D33" i="9"/>
  <c r="L19" i="20"/>
  <c r="L8" i="9"/>
  <c r="L10" i="9" s="1"/>
  <c r="L19" i="18"/>
  <c r="C146" i="25"/>
  <c r="C167" i="25" s="1"/>
  <c r="D147" i="25"/>
  <c r="F41" i="25"/>
  <c r="E47" i="25"/>
  <c r="L48" i="7"/>
  <c r="K62" i="7"/>
  <c r="E124" i="25"/>
  <c r="D123" i="25"/>
  <c r="I57" i="7"/>
  <c r="J43" i="7"/>
  <c r="G37" i="1"/>
  <c r="G15" i="15" s="1"/>
  <c r="H40" i="1"/>
  <c r="I42" i="7"/>
  <c r="H56" i="7"/>
  <c r="E90" i="7"/>
  <c r="F109" i="25"/>
  <c r="G110" i="25"/>
  <c r="J63" i="7"/>
  <c r="K49" i="7"/>
  <c r="F64" i="7"/>
  <c r="G50" i="7"/>
  <c r="G95" i="25"/>
  <c r="H96" i="25"/>
  <c r="K22" i="1"/>
  <c r="L22" i="1" s="1"/>
  <c r="M22" i="1" s="1"/>
  <c r="H59" i="7"/>
  <c r="I45" i="7"/>
  <c r="I51" i="7"/>
  <c r="H65" i="7"/>
  <c r="E14" i="15"/>
  <c r="E13" i="15" s="1"/>
  <c r="I47" i="7"/>
  <c r="H61" i="7"/>
  <c r="M46" i="7"/>
  <c r="L60" i="7"/>
  <c r="G24" i="1"/>
  <c r="G21" i="1" s="1"/>
  <c r="D29" i="1"/>
  <c r="D69" i="1" s="1"/>
  <c r="D72" i="1" s="1"/>
  <c r="D82" i="1" s="1"/>
  <c r="G28" i="1"/>
  <c r="H28" i="1" s="1"/>
  <c r="F14" i="15"/>
  <c r="F13" i="15" s="1"/>
  <c r="F41" i="1"/>
  <c r="F70" i="1" s="1"/>
  <c r="E29" i="1"/>
  <c r="E69" i="1" s="1"/>
  <c r="G17" i="1"/>
  <c r="H20" i="1"/>
  <c r="F17" i="1"/>
  <c r="G14" i="15"/>
  <c r="G41" i="1"/>
  <c r="G70" i="1" s="1"/>
  <c r="G53" i="11"/>
  <c r="G11" i="11" s="1"/>
  <c r="H51" i="11"/>
  <c r="I36" i="1"/>
  <c r="H33" i="1"/>
  <c r="I13" i="1"/>
  <c r="H44" i="7"/>
  <c r="G58" i="7"/>
  <c r="I35" i="25"/>
  <c r="E38" i="25"/>
  <c r="F36" i="25"/>
  <c r="D172" i="25"/>
  <c r="C172" i="25"/>
  <c r="C19" i="18"/>
  <c r="C19" i="20"/>
  <c r="D55" i="25"/>
  <c r="E100" i="7"/>
  <c r="D30" i="3" s="1"/>
  <c r="F80" i="25"/>
  <c r="E79" i="25"/>
  <c r="E93" i="25" s="1"/>
  <c r="D81" i="7"/>
  <c r="D83" i="7" s="1"/>
  <c r="G55" i="7"/>
  <c r="H41" i="7"/>
  <c r="F88" i="7"/>
  <c r="F99" i="7" s="1"/>
  <c r="F71" i="7"/>
  <c r="E102" i="7"/>
  <c r="E81" i="7"/>
  <c r="E83" i="7" s="1"/>
  <c r="D90" i="7"/>
  <c r="D94" i="7" s="1"/>
  <c r="B15" i="2" s="1"/>
  <c r="J6" i="7"/>
  <c r="I57" i="1"/>
  <c r="I12" i="1"/>
  <c r="H7" i="2"/>
  <c r="L12" i="6"/>
  <c r="I7" i="15"/>
  <c r="I32" i="1"/>
  <c r="I7" i="4"/>
  <c r="I7" i="20"/>
  <c r="I7" i="25"/>
  <c r="I33" i="25" s="1"/>
  <c r="H7" i="29"/>
  <c r="I47" i="11"/>
  <c r="I7" i="18"/>
  <c r="I45" i="1"/>
  <c r="L7" i="6"/>
  <c r="I7" i="3"/>
  <c r="I27" i="11"/>
  <c r="I7" i="11" s="1"/>
  <c r="I7" i="9"/>
  <c r="I13" i="9" s="1"/>
  <c r="H6" i="5"/>
  <c r="J8" i="1"/>
  <c r="A83" i="25"/>
  <c r="A89" i="25"/>
  <c r="A98" i="25" s="1"/>
  <c r="A105" i="25" s="1"/>
  <c r="I11" i="7"/>
  <c r="I40" i="7" s="1"/>
  <c r="I54" i="7" s="1"/>
  <c r="I86" i="7"/>
  <c r="I97" i="7" s="1"/>
  <c r="I69" i="7"/>
  <c r="G25" i="5"/>
  <c r="G10" i="5"/>
  <c r="G21" i="5"/>
  <c r="G16" i="5"/>
  <c r="E94" i="7"/>
  <c r="C15" i="2" s="1"/>
  <c r="D102" i="7"/>
  <c r="H72" i="28"/>
  <c r="H36" i="28"/>
  <c r="H54" i="28" s="1"/>
  <c r="L13" i="6"/>
  <c r="K43" i="6"/>
  <c r="F14" i="2"/>
  <c r="G53" i="6"/>
  <c r="I53" i="6"/>
  <c r="F19" i="18"/>
  <c r="F19" i="20"/>
  <c r="C55" i="25"/>
  <c r="E19" i="18"/>
  <c r="E19" i="20"/>
  <c r="B8" i="2"/>
  <c r="C84" i="1"/>
  <c r="H66" i="1"/>
  <c r="H76" i="1" s="1"/>
  <c r="I58" i="1"/>
  <c r="G89" i="28" l="1"/>
  <c r="B9" i="15" s="1"/>
  <c r="H33" i="28"/>
  <c r="G12" i="11"/>
  <c r="G13" i="15"/>
  <c r="C173" i="25"/>
  <c r="C180" i="25" s="1"/>
  <c r="C10" i="4" s="1"/>
  <c r="C168" i="25"/>
  <c r="B24" i="2" s="1"/>
  <c r="C10" i="18" s="1"/>
  <c r="E147" i="25"/>
  <c r="D146" i="25"/>
  <c r="I56" i="9"/>
  <c r="I53" i="9"/>
  <c r="I9" i="3"/>
  <c r="H22" i="4"/>
  <c r="H161" i="25"/>
  <c r="G160" i="25"/>
  <c r="J49" i="6"/>
  <c r="C174" i="25"/>
  <c r="C181" i="25" s="1"/>
  <c r="D101" i="9"/>
  <c r="D39" i="4" s="1"/>
  <c r="E27" i="9"/>
  <c r="E30" i="9"/>
  <c r="E104" i="9" s="1"/>
  <c r="E23" i="20" s="1"/>
  <c r="H57" i="9"/>
  <c r="H58" i="9"/>
  <c r="H51" i="25"/>
  <c r="G54" i="25"/>
  <c r="L47" i="6"/>
  <c r="L51" i="6"/>
  <c r="L45" i="6"/>
  <c r="D31" i="9"/>
  <c r="D103" i="9"/>
  <c r="C28" i="2" s="1"/>
  <c r="D24" i="20" s="1"/>
  <c r="D32" i="9"/>
  <c r="I46" i="1"/>
  <c r="H54" i="1"/>
  <c r="H75" i="1" s="1"/>
  <c r="H78" i="1" s="1"/>
  <c r="E117" i="25"/>
  <c r="D116" i="25"/>
  <c r="D137" i="25" s="1"/>
  <c r="F42" i="9"/>
  <c r="F46" i="9"/>
  <c r="G41" i="25"/>
  <c r="F47" i="25"/>
  <c r="E154" i="25"/>
  <c r="D153" i="25"/>
  <c r="H131" i="25"/>
  <c r="G130" i="25"/>
  <c r="E102" i="25"/>
  <c r="F103" i="25"/>
  <c r="K63" i="7"/>
  <c r="L49" i="7"/>
  <c r="J57" i="7"/>
  <c r="K43" i="7"/>
  <c r="D71" i="1"/>
  <c r="D80" i="1" s="1"/>
  <c r="D84" i="1" s="1"/>
  <c r="D87" i="1" s="1"/>
  <c r="C17" i="2" s="1"/>
  <c r="N46" i="7"/>
  <c r="N60" i="7" s="1"/>
  <c r="M60" i="7"/>
  <c r="I65" i="7"/>
  <c r="J51" i="7"/>
  <c r="F89" i="7"/>
  <c r="F66" i="7"/>
  <c r="F73" i="7" s="1"/>
  <c r="F91" i="7" s="1"/>
  <c r="H37" i="1"/>
  <c r="H15" i="15" s="1"/>
  <c r="I40" i="1"/>
  <c r="E123" i="25"/>
  <c r="F124" i="25"/>
  <c r="J45" i="7"/>
  <c r="I59" i="7"/>
  <c r="H95" i="25"/>
  <c r="I96" i="25"/>
  <c r="F72" i="7"/>
  <c r="G64" i="7"/>
  <c r="H50" i="7"/>
  <c r="H110" i="25"/>
  <c r="G109" i="25"/>
  <c r="I56" i="7"/>
  <c r="J42" i="7"/>
  <c r="F90" i="7"/>
  <c r="J47" i="7"/>
  <c r="I61" i="7"/>
  <c r="M48" i="7"/>
  <c r="L62" i="7"/>
  <c r="G25" i="1"/>
  <c r="G12" i="15" s="1"/>
  <c r="H24" i="1"/>
  <c r="H21" i="1" s="1"/>
  <c r="B11" i="15" s="1"/>
  <c r="I20" i="1"/>
  <c r="H17" i="1"/>
  <c r="B10" i="15" s="1"/>
  <c r="F10" i="15" s="1"/>
  <c r="G29" i="1"/>
  <c r="G69" i="1" s="1"/>
  <c r="G54" i="11"/>
  <c r="F29" i="1"/>
  <c r="F69" i="1" s="1"/>
  <c r="E71" i="1"/>
  <c r="E80" i="1" s="1"/>
  <c r="E72" i="1"/>
  <c r="E82" i="1" s="1"/>
  <c r="H14" i="15"/>
  <c r="H41" i="1"/>
  <c r="H70" i="1" s="1"/>
  <c r="I28" i="1"/>
  <c r="H25" i="1"/>
  <c r="H12" i="15" s="1"/>
  <c r="I33" i="1"/>
  <c r="J36" i="1"/>
  <c r="H53" i="11"/>
  <c r="H11" i="11" s="1"/>
  <c r="H12" i="11" s="1"/>
  <c r="I51" i="11"/>
  <c r="I9" i="15"/>
  <c r="J13" i="1"/>
  <c r="E172" i="25"/>
  <c r="E179" i="25" s="1"/>
  <c r="G36" i="25"/>
  <c r="F38" i="25"/>
  <c r="E55" i="25"/>
  <c r="D179" i="25"/>
  <c r="J35" i="25"/>
  <c r="G89" i="7"/>
  <c r="G100" i="7" s="1"/>
  <c r="G72" i="7"/>
  <c r="C179" i="25"/>
  <c r="C11" i="4" s="1"/>
  <c r="G80" i="25"/>
  <c r="F79" i="25"/>
  <c r="F93" i="25" s="1"/>
  <c r="I44" i="7"/>
  <c r="H58" i="7"/>
  <c r="H55" i="7"/>
  <c r="G71" i="7"/>
  <c r="G88" i="7"/>
  <c r="G66" i="7"/>
  <c r="G73" i="7" s="1"/>
  <c r="G91" i="7" s="1"/>
  <c r="A84" i="25"/>
  <c r="A90" i="25"/>
  <c r="A99" i="25" s="1"/>
  <c r="A106" i="25" s="1"/>
  <c r="J7" i="25"/>
  <c r="J33" i="25" s="1"/>
  <c r="J45" i="1"/>
  <c r="K6" i="7"/>
  <c r="I7" i="2"/>
  <c r="I7" i="29"/>
  <c r="J7" i="4"/>
  <c r="J57" i="1"/>
  <c r="I6" i="5"/>
  <c r="M7" i="6"/>
  <c r="M12" i="6"/>
  <c r="J7" i="15"/>
  <c r="J12" i="1"/>
  <c r="J7" i="3"/>
  <c r="J27" i="11"/>
  <c r="J7" i="11" s="1"/>
  <c r="K8" i="1"/>
  <c r="J32" i="1"/>
  <c r="J7" i="9"/>
  <c r="J13" i="9" s="1"/>
  <c r="J7" i="20"/>
  <c r="J47" i="11"/>
  <c r="J7" i="18"/>
  <c r="A142" i="25"/>
  <c r="A149" i="25" s="1"/>
  <c r="A156" i="25" s="1"/>
  <c r="A163" i="25" s="1"/>
  <c r="A112" i="25"/>
  <c r="A119" i="25" s="1"/>
  <c r="A126" i="25" s="1"/>
  <c r="A133" i="25" s="1"/>
  <c r="H16" i="5"/>
  <c r="H21" i="5"/>
  <c r="H25" i="5"/>
  <c r="H10" i="5"/>
  <c r="J69" i="7"/>
  <c r="J86" i="7"/>
  <c r="J97" i="7" s="1"/>
  <c r="J11" i="7"/>
  <c r="J40" i="7" s="1"/>
  <c r="J54" i="7" s="1"/>
  <c r="K53" i="6"/>
  <c r="G14" i="2"/>
  <c r="K49" i="6"/>
  <c r="H11" i="29"/>
  <c r="M13" i="6"/>
  <c r="L43" i="6"/>
  <c r="J58" i="1"/>
  <c r="I66" i="1"/>
  <c r="I76" i="1" s="1"/>
  <c r="D10" i="3"/>
  <c r="C87" i="1"/>
  <c r="C10" i="3"/>
  <c r="B8" i="29"/>
  <c r="C12" i="4"/>
  <c r="C182" i="25"/>
  <c r="H41" i="28" l="1"/>
  <c r="H77" i="28" s="1"/>
  <c r="H37" i="28"/>
  <c r="H73" i="28" s="1"/>
  <c r="H44" i="28"/>
  <c r="H80" i="28" s="1"/>
  <c r="H39" i="28"/>
  <c r="H75" i="28" s="1"/>
  <c r="H40" i="28"/>
  <c r="H76" i="28" s="1"/>
  <c r="H38" i="28"/>
  <c r="H74" i="28" s="1"/>
  <c r="H45" i="28"/>
  <c r="H81" i="28" s="1"/>
  <c r="H46" i="28"/>
  <c r="H82" i="28" s="1"/>
  <c r="H87" i="28" s="1"/>
  <c r="F9" i="15"/>
  <c r="C9" i="15"/>
  <c r="G9" i="15"/>
  <c r="D9" i="15"/>
  <c r="E9" i="15"/>
  <c r="H9" i="15"/>
  <c r="C175" i="25"/>
  <c r="H13" i="15"/>
  <c r="F81" i="7"/>
  <c r="F83" i="7" s="1"/>
  <c r="D173" i="25"/>
  <c r="D11" i="15"/>
  <c r="C11" i="15"/>
  <c r="E11" i="15"/>
  <c r="F11" i="15"/>
  <c r="F8" i="15" s="1"/>
  <c r="G10" i="15"/>
  <c r="G11" i="15"/>
  <c r="G8" i="15" s="1"/>
  <c r="G16" i="15" s="1"/>
  <c r="H130" i="25"/>
  <c r="I131" i="25"/>
  <c r="G47" i="25"/>
  <c r="H41" i="25"/>
  <c r="G103" i="25"/>
  <c r="F102" i="25"/>
  <c r="H54" i="25"/>
  <c r="I51" i="25"/>
  <c r="E29" i="9"/>
  <c r="E33" i="9"/>
  <c r="D167" i="25"/>
  <c r="D69" i="11"/>
  <c r="D37" i="4"/>
  <c r="E146" i="25"/>
  <c r="F147" i="25"/>
  <c r="C10" i="15"/>
  <c r="C8" i="15" s="1"/>
  <c r="D10" i="15"/>
  <c r="E10" i="15"/>
  <c r="F117" i="25"/>
  <c r="E116" i="25"/>
  <c r="E137" i="25" s="1"/>
  <c r="F154" i="25"/>
  <c r="E153" i="25"/>
  <c r="G43" i="9"/>
  <c r="G40" i="9"/>
  <c r="J9" i="3"/>
  <c r="I22" i="4"/>
  <c r="M51" i="6"/>
  <c r="M45" i="6"/>
  <c r="M47" i="6"/>
  <c r="I11" i="29" s="1"/>
  <c r="F44" i="9"/>
  <c r="F45" i="9"/>
  <c r="J46" i="1"/>
  <c r="I54" i="1"/>
  <c r="I75" i="1" s="1"/>
  <c r="I78" i="1" s="1"/>
  <c r="H160" i="25"/>
  <c r="I161" i="25"/>
  <c r="I59" i="9"/>
  <c r="I55" i="9"/>
  <c r="H77" i="1"/>
  <c r="I110" i="25"/>
  <c r="H109" i="25"/>
  <c r="J96" i="25"/>
  <c r="I95" i="25"/>
  <c r="I37" i="1"/>
  <c r="I15" i="15" s="1"/>
  <c r="J40" i="1"/>
  <c r="L43" i="7"/>
  <c r="K57" i="7"/>
  <c r="J59" i="7"/>
  <c r="K45" i="7"/>
  <c r="J65" i="7"/>
  <c r="K51" i="7"/>
  <c r="C8" i="2"/>
  <c r="N48" i="7"/>
  <c r="N62" i="7" s="1"/>
  <c r="M62" i="7"/>
  <c r="J61" i="7"/>
  <c r="K47" i="7"/>
  <c r="J56" i="7"/>
  <c r="K42" i="7"/>
  <c r="I50" i="7"/>
  <c r="H64" i="7"/>
  <c r="H66" i="7" s="1"/>
  <c r="H73" i="7" s="1"/>
  <c r="H91" i="7" s="1"/>
  <c r="F94" i="7"/>
  <c r="D15" i="2" s="1"/>
  <c r="G124" i="25"/>
  <c r="F123" i="25"/>
  <c r="F100" i="7"/>
  <c r="F101" i="7"/>
  <c r="E31" i="3" s="1"/>
  <c r="L63" i="7"/>
  <c r="M49" i="7"/>
  <c r="H11" i="15"/>
  <c r="I24" i="1"/>
  <c r="I21" i="1" s="1"/>
  <c r="E84" i="1"/>
  <c r="D8" i="2"/>
  <c r="K36" i="1"/>
  <c r="J33" i="1"/>
  <c r="H54" i="11"/>
  <c r="I25" i="1"/>
  <c r="I12" i="15" s="1"/>
  <c r="J28" i="1"/>
  <c r="G72" i="1"/>
  <c r="G82" i="1" s="1"/>
  <c r="G71" i="1"/>
  <c r="G80" i="1" s="1"/>
  <c r="I53" i="11"/>
  <c r="J51" i="11"/>
  <c r="I14" i="15"/>
  <c r="I13" i="15" s="1"/>
  <c r="H10" i="15"/>
  <c r="H29" i="1"/>
  <c r="H69" i="1" s="1"/>
  <c r="F71" i="1"/>
  <c r="F80" i="1" s="1"/>
  <c r="F72" i="1"/>
  <c r="F82" i="1" s="1"/>
  <c r="J20" i="1"/>
  <c r="I17" i="1"/>
  <c r="K13" i="1"/>
  <c r="J9" i="15"/>
  <c r="C9" i="4"/>
  <c r="I58" i="7"/>
  <c r="G79" i="25"/>
  <c r="G93" i="25" s="1"/>
  <c r="H80" i="25"/>
  <c r="D11" i="4"/>
  <c r="E11" i="4"/>
  <c r="F55" i="25"/>
  <c r="K35" i="25"/>
  <c r="F172" i="25"/>
  <c r="H72" i="7"/>
  <c r="H89" i="7"/>
  <c r="H100" i="7" s="1"/>
  <c r="H36" i="25"/>
  <c r="G38" i="25"/>
  <c r="G99" i="7"/>
  <c r="F30" i="3" s="1"/>
  <c r="G101" i="7"/>
  <c r="F31" i="3" s="1"/>
  <c r="G90" i="7"/>
  <c r="G94" i="7" s="1"/>
  <c r="E15" i="2" s="1"/>
  <c r="G81" i="7"/>
  <c r="G83" i="7" s="1"/>
  <c r="H71" i="7"/>
  <c r="H88" i="7"/>
  <c r="I55" i="7"/>
  <c r="K69" i="7"/>
  <c r="K11" i="7"/>
  <c r="K40" i="7" s="1"/>
  <c r="K54" i="7" s="1"/>
  <c r="K86" i="7"/>
  <c r="K97" i="7" s="1"/>
  <c r="I10" i="5"/>
  <c r="I25" i="5"/>
  <c r="I16" i="5"/>
  <c r="I21" i="5"/>
  <c r="A143" i="25"/>
  <c r="A150" i="25" s="1"/>
  <c r="A157" i="25" s="1"/>
  <c r="A164" i="25" s="1"/>
  <c r="A113" i="25"/>
  <c r="A120" i="25" s="1"/>
  <c r="A127" i="25" s="1"/>
  <c r="A134" i="25" s="1"/>
  <c r="K27" i="11"/>
  <c r="K7" i="11" s="1"/>
  <c r="K7" i="20"/>
  <c r="K7" i="18"/>
  <c r="J7" i="29"/>
  <c r="K7" i="9"/>
  <c r="K13" i="9" s="1"/>
  <c r="L8" i="1"/>
  <c r="K12" i="1"/>
  <c r="K45" i="1"/>
  <c r="J6" i="5"/>
  <c r="L6" i="7"/>
  <c r="K47" i="11"/>
  <c r="N12" i="6"/>
  <c r="K7" i="25"/>
  <c r="K33" i="25" s="1"/>
  <c r="K7" i="15"/>
  <c r="K7" i="3"/>
  <c r="N7" i="6"/>
  <c r="J7" i="2"/>
  <c r="K57" i="1"/>
  <c r="K7" i="4"/>
  <c r="K32" i="1"/>
  <c r="A91" i="25"/>
  <c r="A100" i="25" s="1"/>
  <c r="A107" i="25" s="1"/>
  <c r="A85" i="25"/>
  <c r="A92" i="25" s="1"/>
  <c r="A101" i="25" s="1"/>
  <c r="A108" i="25" s="1"/>
  <c r="L53" i="6"/>
  <c r="H14" i="2"/>
  <c r="M43" i="6"/>
  <c r="N13" i="6"/>
  <c r="L49" i="6"/>
  <c r="C17" i="4"/>
  <c r="B17" i="2"/>
  <c r="D17" i="4"/>
  <c r="K58" i="1"/>
  <c r="J66" i="1"/>
  <c r="J76" i="1" s="1"/>
  <c r="E167" i="25" l="1"/>
  <c r="D174" i="25"/>
  <c r="D168" i="25"/>
  <c r="C24" i="2" s="1"/>
  <c r="D10" i="18" s="1"/>
  <c r="E8" i="15"/>
  <c r="M49" i="6"/>
  <c r="E173" i="25"/>
  <c r="E180" i="25" s="1"/>
  <c r="E10" i="4" s="1"/>
  <c r="E168" i="25"/>
  <c r="D24" i="2" s="1"/>
  <c r="E10" i="18" s="1"/>
  <c r="F16" i="15"/>
  <c r="F11" i="3" s="1"/>
  <c r="F16" i="4" s="1"/>
  <c r="F18" i="15"/>
  <c r="F32" i="3" s="1"/>
  <c r="F12" i="3" s="1"/>
  <c r="F18" i="4" s="1"/>
  <c r="K9" i="3"/>
  <c r="J22" i="4"/>
  <c r="E18" i="15"/>
  <c r="E32" i="3" s="1"/>
  <c r="E16" i="15"/>
  <c r="F30" i="9"/>
  <c r="F104" i="9" s="1"/>
  <c r="F23" i="20" s="1"/>
  <c r="E101" i="9"/>
  <c r="E39" i="4" s="1"/>
  <c r="F27" i="9"/>
  <c r="I77" i="1"/>
  <c r="J56" i="9"/>
  <c r="J53" i="9"/>
  <c r="K46" i="1"/>
  <c r="J54" i="1"/>
  <c r="J75" i="1" s="1"/>
  <c r="J78" i="1" s="1"/>
  <c r="G46" i="9"/>
  <c r="G42" i="9"/>
  <c r="G102" i="25"/>
  <c r="H103" i="25"/>
  <c r="J161" i="25"/>
  <c r="I160" i="25"/>
  <c r="C18" i="15"/>
  <c r="C32" i="3" s="1"/>
  <c r="C16" i="15"/>
  <c r="I54" i="25"/>
  <c r="J51" i="25"/>
  <c r="I41" i="25"/>
  <c r="H47" i="25"/>
  <c r="I57" i="9"/>
  <c r="I58" i="9" s="1"/>
  <c r="G154" i="25"/>
  <c r="F153" i="25"/>
  <c r="I130" i="25"/>
  <c r="J131" i="25"/>
  <c r="D8" i="15"/>
  <c r="E31" i="9"/>
  <c r="E103" i="9" s="1"/>
  <c r="D28" i="2" s="1"/>
  <c r="E24" i="20" s="1"/>
  <c r="N45" i="6"/>
  <c r="N47" i="6"/>
  <c r="J11" i="29" s="1"/>
  <c r="N51" i="6"/>
  <c r="G117" i="25"/>
  <c r="F116" i="25"/>
  <c r="F137" i="25" s="1"/>
  <c r="F146" i="25"/>
  <c r="F167" i="25" s="1"/>
  <c r="G147" i="25"/>
  <c r="D181" i="25"/>
  <c r="D12" i="4" s="1"/>
  <c r="E174" i="25"/>
  <c r="D180" i="25"/>
  <c r="D175" i="25"/>
  <c r="G18" i="15"/>
  <c r="G32" i="3" s="1"/>
  <c r="G123" i="25"/>
  <c r="H124" i="25"/>
  <c r="J95" i="25"/>
  <c r="K96" i="25"/>
  <c r="J110" i="25"/>
  <c r="I109" i="25"/>
  <c r="H8" i="15"/>
  <c r="H16" i="15" s="1"/>
  <c r="L47" i="7"/>
  <c r="K61" i="7"/>
  <c r="C8" i="29"/>
  <c r="C7" i="5"/>
  <c r="E30" i="3"/>
  <c r="F102" i="7"/>
  <c r="J50" i="7"/>
  <c r="I64" i="7"/>
  <c r="K65" i="7"/>
  <c r="L51" i="7"/>
  <c r="L45" i="7"/>
  <c r="K59" i="7"/>
  <c r="M43" i="7"/>
  <c r="L57" i="7"/>
  <c r="I41" i="1"/>
  <c r="I70" i="1" s="1"/>
  <c r="N49" i="7"/>
  <c r="N63" i="7" s="1"/>
  <c r="M63" i="7"/>
  <c r="L42" i="7"/>
  <c r="K56" i="7"/>
  <c r="J37" i="1"/>
  <c r="J15" i="15" s="1"/>
  <c r="K40" i="1"/>
  <c r="J24" i="1"/>
  <c r="J21" i="1" s="1"/>
  <c r="I11" i="15"/>
  <c r="G11" i="3"/>
  <c r="G16" i="4" s="1"/>
  <c r="F13" i="2"/>
  <c r="F10" i="29" s="1"/>
  <c r="H72" i="1"/>
  <c r="H82" i="1" s="1"/>
  <c r="H71" i="1"/>
  <c r="H80" i="1" s="1"/>
  <c r="J14" i="15"/>
  <c r="J13" i="15" s="1"/>
  <c r="J41" i="1"/>
  <c r="J70" i="1" s="1"/>
  <c r="E8" i="2"/>
  <c r="F84" i="1"/>
  <c r="J25" i="1"/>
  <c r="J12" i="15" s="1"/>
  <c r="K28" i="1"/>
  <c r="L36" i="1"/>
  <c r="K33" i="1"/>
  <c r="F8" i="2"/>
  <c r="G84" i="1"/>
  <c r="I10" i="15"/>
  <c r="I29" i="1"/>
  <c r="I69" i="1" s="1"/>
  <c r="K51" i="11"/>
  <c r="J53" i="11"/>
  <c r="J11" i="11" s="1"/>
  <c r="F20" i="15"/>
  <c r="F17" i="3" s="1"/>
  <c r="J17" i="1"/>
  <c r="K20" i="1"/>
  <c r="L20" i="1" s="1"/>
  <c r="I54" i="11"/>
  <c r="I11" i="11"/>
  <c r="I12" i="11" s="1"/>
  <c r="D7" i="5"/>
  <c r="D8" i="29"/>
  <c r="E10" i="3"/>
  <c r="E87" i="1"/>
  <c r="D17" i="2" s="1"/>
  <c r="K9" i="15"/>
  <c r="L13" i="1"/>
  <c r="M13" i="1"/>
  <c r="F179" i="25"/>
  <c r="F11" i="4" s="1"/>
  <c r="G55" i="25"/>
  <c r="I36" i="25"/>
  <c r="H38" i="25"/>
  <c r="G172" i="25"/>
  <c r="I80" i="25"/>
  <c r="H79" i="25"/>
  <c r="H93" i="25" s="1"/>
  <c r="L35" i="25"/>
  <c r="K44" i="7"/>
  <c r="J58" i="7"/>
  <c r="I72" i="7"/>
  <c r="I89" i="7"/>
  <c r="I100" i="7" s="1"/>
  <c r="H101" i="7"/>
  <c r="G31" i="3" s="1"/>
  <c r="H99" i="7"/>
  <c r="G30" i="3" s="1"/>
  <c r="J55" i="7"/>
  <c r="K41" i="7"/>
  <c r="H90" i="7"/>
  <c r="H94" i="7" s="1"/>
  <c r="F15" i="2" s="1"/>
  <c r="H81" i="7"/>
  <c r="H83" i="7" s="1"/>
  <c r="I88" i="7"/>
  <c r="I71" i="7"/>
  <c r="I66" i="7"/>
  <c r="I73" i="7" s="1"/>
  <c r="I91" i="7" s="1"/>
  <c r="G102" i="7"/>
  <c r="L47" i="11"/>
  <c r="O7" i="6"/>
  <c r="L7" i="25"/>
  <c r="L33" i="25" s="1"/>
  <c r="O12" i="6"/>
  <c r="M6" i="7"/>
  <c r="L7" i="3"/>
  <c r="M8" i="1"/>
  <c r="L45" i="1"/>
  <c r="L27" i="11"/>
  <c r="L7" i="11" s="1"/>
  <c r="L7" i="20"/>
  <c r="L7" i="4"/>
  <c r="L12" i="1"/>
  <c r="K7" i="2"/>
  <c r="L7" i="18"/>
  <c r="L32" i="1"/>
  <c r="L7" i="9"/>
  <c r="L13" i="9" s="1"/>
  <c r="L7" i="15"/>
  <c r="L57" i="1"/>
  <c r="K6" i="5"/>
  <c r="K7" i="29"/>
  <c r="A144" i="25"/>
  <c r="A151" i="25" s="1"/>
  <c r="A158" i="25" s="1"/>
  <c r="A165" i="25" s="1"/>
  <c r="A114" i="25"/>
  <c r="A121" i="25" s="1"/>
  <c r="A128" i="25" s="1"/>
  <c r="A135" i="25" s="1"/>
  <c r="L69" i="7"/>
  <c r="L11" i="7"/>
  <c r="L40" i="7" s="1"/>
  <c r="L54" i="7" s="1"/>
  <c r="L86" i="7"/>
  <c r="L97" i="7" s="1"/>
  <c r="A145" i="25"/>
  <c r="A152" i="25" s="1"/>
  <c r="A159" i="25" s="1"/>
  <c r="A166" i="25" s="1"/>
  <c r="A115" i="25"/>
  <c r="A122" i="25" s="1"/>
  <c r="A129" i="25" s="1"/>
  <c r="A136" i="25" s="1"/>
  <c r="J21" i="5"/>
  <c r="J25" i="5"/>
  <c r="J10" i="5"/>
  <c r="J16" i="5"/>
  <c r="M53" i="6"/>
  <c r="I14" i="2"/>
  <c r="N43" i="6"/>
  <c r="O13" i="6"/>
  <c r="K66" i="1"/>
  <c r="K76" i="1" s="1"/>
  <c r="L58" i="1"/>
  <c r="I8" i="15" l="1"/>
  <c r="G20" i="15"/>
  <c r="G17" i="3" s="1"/>
  <c r="F173" i="25"/>
  <c r="F168" i="25"/>
  <c r="E24" i="2" s="1"/>
  <c r="F10" i="18" s="1"/>
  <c r="D10" i="4"/>
  <c r="D9" i="4" s="1"/>
  <c r="D182" i="25"/>
  <c r="J130" i="25"/>
  <c r="K131" i="25"/>
  <c r="I47" i="25"/>
  <c r="J41" i="25"/>
  <c r="F174" i="25"/>
  <c r="E181" i="25"/>
  <c r="E32" i="9"/>
  <c r="J54" i="25"/>
  <c r="K51" i="25"/>
  <c r="H117" i="25"/>
  <c r="G116" i="25"/>
  <c r="G137" i="25" s="1"/>
  <c r="D18" i="15"/>
  <c r="D32" i="3" s="1"/>
  <c r="D16" i="15"/>
  <c r="J77" i="1"/>
  <c r="K161" i="25"/>
  <c r="J160" i="25"/>
  <c r="L46" i="1"/>
  <c r="K54" i="1"/>
  <c r="K75" i="1" s="1"/>
  <c r="K78" i="1" s="1"/>
  <c r="F33" i="9"/>
  <c r="F29" i="9"/>
  <c r="E175" i="25"/>
  <c r="C12" i="3"/>
  <c r="C18" i="4" s="1"/>
  <c r="C18" i="3"/>
  <c r="C29" i="3"/>
  <c r="H43" i="9"/>
  <c r="H40" i="9"/>
  <c r="K22" i="4"/>
  <c r="L9" i="3"/>
  <c r="E13" i="2"/>
  <c r="E10" i="29" s="1"/>
  <c r="I103" i="25"/>
  <c r="H102" i="25"/>
  <c r="E11" i="3"/>
  <c r="E16" i="4" s="1"/>
  <c r="D13" i="2"/>
  <c r="D23" i="2" s="1"/>
  <c r="D26" i="2" s="1"/>
  <c r="E20" i="15"/>
  <c r="E17" i="3" s="1"/>
  <c r="E43" i="4" s="1"/>
  <c r="O45" i="6"/>
  <c r="O47" i="6"/>
  <c r="O51" i="6"/>
  <c r="H147" i="25"/>
  <c r="G146" i="25"/>
  <c r="G153" i="25"/>
  <c r="H154" i="25"/>
  <c r="B13" i="2"/>
  <c r="C11" i="3"/>
  <c r="C20" i="15"/>
  <c r="C17" i="3" s="1"/>
  <c r="G44" i="9"/>
  <c r="G45" i="9" s="1"/>
  <c r="J55" i="9"/>
  <c r="J59" i="9"/>
  <c r="E69" i="11"/>
  <c r="E37" i="4"/>
  <c r="F29" i="3"/>
  <c r="F18" i="3"/>
  <c r="F20" i="3" s="1"/>
  <c r="H18" i="15"/>
  <c r="H32" i="3" s="1"/>
  <c r="L40" i="1"/>
  <c r="K37" i="1"/>
  <c r="K15" i="15" s="1"/>
  <c r="N43" i="7"/>
  <c r="N57" i="7" s="1"/>
  <c r="M57" i="7"/>
  <c r="E29" i="3"/>
  <c r="E18" i="3"/>
  <c r="E20" i="3" s="1"/>
  <c r="K95" i="25"/>
  <c r="L96" i="25"/>
  <c r="E12" i="3"/>
  <c r="E18" i="4" s="1"/>
  <c r="M47" i="7"/>
  <c r="L61" i="7"/>
  <c r="L59" i="7"/>
  <c r="M45" i="7"/>
  <c r="J64" i="7"/>
  <c r="K50" i="7"/>
  <c r="I124" i="25"/>
  <c r="H123" i="25"/>
  <c r="N49" i="6"/>
  <c r="H102" i="7"/>
  <c r="L56" i="7"/>
  <c r="M42" i="7"/>
  <c r="L65" i="7"/>
  <c r="M51" i="7"/>
  <c r="K110" i="25"/>
  <c r="J109" i="25"/>
  <c r="G18" i="3"/>
  <c r="G20" i="3" s="1"/>
  <c r="G29" i="3"/>
  <c r="G12" i="3"/>
  <c r="G18" i="4" s="1"/>
  <c r="K24" i="1"/>
  <c r="J11" i="15"/>
  <c r="F10" i="3"/>
  <c r="F87" i="1"/>
  <c r="E17" i="2" s="1"/>
  <c r="G8" i="2"/>
  <c r="H84" i="1"/>
  <c r="E8" i="29"/>
  <c r="E7" i="5"/>
  <c r="I71" i="1"/>
  <c r="I80" i="1" s="1"/>
  <c r="I72" i="1"/>
  <c r="I82" i="1" s="1"/>
  <c r="G10" i="3"/>
  <c r="G87" i="1"/>
  <c r="F17" i="2" s="1"/>
  <c r="F23" i="2" s="1"/>
  <c r="K17" i="1"/>
  <c r="G13" i="2"/>
  <c r="G10" i="29" s="1"/>
  <c r="H11" i="3"/>
  <c r="H16" i="4" s="1"/>
  <c r="H20" i="15"/>
  <c r="H17" i="3" s="1"/>
  <c r="K14" i="15"/>
  <c r="K13" i="15" s="1"/>
  <c r="K41" i="1"/>
  <c r="K70" i="1" s="1"/>
  <c r="G43" i="4"/>
  <c r="K53" i="11"/>
  <c r="K11" i="11" s="1"/>
  <c r="L51" i="11"/>
  <c r="F7" i="5"/>
  <c r="F8" i="29"/>
  <c r="F26" i="5"/>
  <c r="M36" i="1"/>
  <c r="M33" i="1" s="1"/>
  <c r="L33" i="1"/>
  <c r="J54" i="11"/>
  <c r="J10" i="15"/>
  <c r="J29" i="1"/>
  <c r="J69" i="1" s="1"/>
  <c r="E17" i="4"/>
  <c r="I16" i="15"/>
  <c r="I18" i="15"/>
  <c r="L28" i="1"/>
  <c r="K25" i="1"/>
  <c r="K12" i="15" s="1"/>
  <c r="J12" i="11"/>
  <c r="F43" i="4"/>
  <c r="M9" i="15"/>
  <c r="L9" i="15"/>
  <c r="J89" i="7"/>
  <c r="J100" i="7" s="1"/>
  <c r="J72" i="7"/>
  <c r="M35" i="25"/>
  <c r="K58" i="7"/>
  <c r="L44" i="7"/>
  <c r="H172" i="25"/>
  <c r="H55" i="25"/>
  <c r="J36" i="25"/>
  <c r="I38" i="25"/>
  <c r="I79" i="25"/>
  <c r="I93" i="25" s="1"/>
  <c r="J80" i="25"/>
  <c r="G179" i="25"/>
  <c r="J88" i="7"/>
  <c r="J71" i="7"/>
  <c r="J66" i="7"/>
  <c r="J73" i="7" s="1"/>
  <c r="J91" i="7" s="1"/>
  <c r="I99" i="7"/>
  <c r="H30" i="3" s="1"/>
  <c r="I101" i="7"/>
  <c r="H31" i="3" s="1"/>
  <c r="I81" i="7"/>
  <c r="I83" i="7" s="1"/>
  <c r="I90" i="7"/>
  <c r="I94" i="7" s="1"/>
  <c r="G15" i="2" s="1"/>
  <c r="K55" i="7"/>
  <c r="L41" i="7"/>
  <c r="M69" i="7"/>
  <c r="M11" i="7"/>
  <c r="M40" i="7" s="1"/>
  <c r="M54" i="7" s="1"/>
  <c r="M86" i="7"/>
  <c r="M97" i="7" s="1"/>
  <c r="M45" i="1"/>
  <c r="M47" i="11"/>
  <c r="P12" i="6"/>
  <c r="M27" i="11"/>
  <c r="M7" i="11" s="1"/>
  <c r="M7" i="25"/>
  <c r="M33" i="25" s="1"/>
  <c r="M7" i="3"/>
  <c r="M57" i="1"/>
  <c r="M7" i="4"/>
  <c r="L7" i="2"/>
  <c r="M32" i="1"/>
  <c r="L6" i="5"/>
  <c r="N6" i="7"/>
  <c r="M7" i="20"/>
  <c r="M7" i="15"/>
  <c r="P7" i="6"/>
  <c r="M7" i="18"/>
  <c r="L7" i="29"/>
  <c r="M7" i="9"/>
  <c r="M13" i="9" s="1"/>
  <c r="M12" i="1"/>
  <c r="K21" i="5"/>
  <c r="K25" i="5"/>
  <c r="K10" i="5"/>
  <c r="K16" i="5"/>
  <c r="O43" i="6"/>
  <c r="K11" i="29"/>
  <c r="P13" i="6"/>
  <c r="J14" i="2"/>
  <c r="N53" i="6"/>
  <c r="L66" i="1"/>
  <c r="L76" i="1" s="1"/>
  <c r="M58" i="1"/>
  <c r="M66" i="1" s="1"/>
  <c r="M76" i="1" s="1"/>
  <c r="E12" i="29" l="1"/>
  <c r="E9" i="18"/>
  <c r="E12" i="18" s="1"/>
  <c r="E14" i="9" s="1"/>
  <c r="E20" i="9" s="1"/>
  <c r="D29" i="2"/>
  <c r="D28" i="5" s="1"/>
  <c r="E9" i="20"/>
  <c r="D19" i="5"/>
  <c r="E12" i="4"/>
  <c r="E9" i="4" s="1"/>
  <c r="E182" i="25"/>
  <c r="H153" i="25"/>
  <c r="I154" i="25"/>
  <c r="K77" i="1"/>
  <c r="M46" i="1"/>
  <c r="M54" i="1" s="1"/>
  <c r="M75" i="1" s="1"/>
  <c r="M78" i="1" s="1"/>
  <c r="L54" i="1"/>
  <c r="L75" i="1" s="1"/>
  <c r="L78" i="1" s="1"/>
  <c r="L51" i="25"/>
  <c r="K54" i="25"/>
  <c r="F181" i="25"/>
  <c r="F12" i="4" s="1"/>
  <c r="K130" i="25"/>
  <c r="L131" i="25"/>
  <c r="L77" i="1"/>
  <c r="E15" i="4"/>
  <c r="E26" i="5"/>
  <c r="K56" i="9"/>
  <c r="K53" i="9"/>
  <c r="C43" i="4"/>
  <c r="C20" i="3"/>
  <c r="M9" i="3"/>
  <c r="M22" i="4" s="1"/>
  <c r="L22" i="4"/>
  <c r="F31" i="9"/>
  <c r="F32" i="9" s="1"/>
  <c r="D29" i="3"/>
  <c r="D18" i="3"/>
  <c r="D12" i="3"/>
  <c r="D18" i="4" s="1"/>
  <c r="B10" i="29"/>
  <c r="B12" i="29" s="1"/>
  <c r="B13" i="29" s="1"/>
  <c r="B26" i="5"/>
  <c r="B23" i="2"/>
  <c r="B26" i="2" s="1"/>
  <c r="I147" i="25"/>
  <c r="H146" i="25"/>
  <c r="H167" i="25" s="1"/>
  <c r="D10" i="29"/>
  <c r="D12" i="29" s="1"/>
  <c r="D13" i="29" s="1"/>
  <c r="D26" i="5"/>
  <c r="D27" i="5" s="1"/>
  <c r="H42" i="9"/>
  <c r="H46" i="9"/>
  <c r="H116" i="25"/>
  <c r="H137" i="25" s="1"/>
  <c r="H168" i="25" s="1"/>
  <c r="G24" i="2" s="1"/>
  <c r="H10" i="18" s="1"/>
  <c r="I117" i="25"/>
  <c r="D20" i="15"/>
  <c r="D17" i="3" s="1"/>
  <c r="C13" i="2"/>
  <c r="D11" i="3"/>
  <c r="G173" i="25"/>
  <c r="P47" i="6"/>
  <c r="L11" i="29" s="1"/>
  <c r="P51" i="6"/>
  <c r="P45" i="6"/>
  <c r="E23" i="2"/>
  <c r="E26" i="2" s="1"/>
  <c r="F9" i="20" s="1"/>
  <c r="J57" i="9"/>
  <c r="J58" i="9"/>
  <c r="C16" i="4"/>
  <c r="C15" i="4" s="1"/>
  <c r="C23" i="4" s="1"/>
  <c r="C15" i="3"/>
  <c r="G167" i="25"/>
  <c r="G168" i="25" s="1"/>
  <c r="F24" i="2" s="1"/>
  <c r="J103" i="25"/>
  <c r="I102" i="25"/>
  <c r="F101" i="9"/>
  <c r="F39" i="4" s="1"/>
  <c r="G30" i="9"/>
  <c r="G104" i="9" s="1"/>
  <c r="G23" i="20" s="1"/>
  <c r="G27" i="9"/>
  <c r="L161" i="25"/>
  <c r="K160" i="25"/>
  <c r="J47" i="25"/>
  <c r="K41" i="25"/>
  <c r="F180" i="25"/>
  <c r="F175" i="25"/>
  <c r="E15" i="3"/>
  <c r="E22" i="3" s="1"/>
  <c r="J8" i="15"/>
  <c r="J16" i="15" s="1"/>
  <c r="J124" i="25"/>
  <c r="I123" i="25"/>
  <c r="N51" i="7"/>
  <c r="N65" i="7" s="1"/>
  <c r="M65" i="7"/>
  <c r="L50" i="7"/>
  <c r="K64" i="7"/>
  <c r="N47" i="7"/>
  <c r="N61" i="7" s="1"/>
  <c r="M61" i="7"/>
  <c r="M96" i="25"/>
  <c r="M95" i="25" s="1"/>
  <c r="L95" i="25"/>
  <c r="H179" i="25"/>
  <c r="K109" i="25"/>
  <c r="L110" i="25"/>
  <c r="M40" i="1"/>
  <c r="M37" i="1" s="1"/>
  <c r="M15" i="15" s="1"/>
  <c r="L37" i="1"/>
  <c r="L15" i="15" s="1"/>
  <c r="O49" i="6"/>
  <c r="M56" i="7"/>
  <c r="N42" i="7"/>
  <c r="N56" i="7" s="1"/>
  <c r="M59" i="7"/>
  <c r="N45" i="7"/>
  <c r="N59" i="7" s="1"/>
  <c r="E13" i="29"/>
  <c r="L24" i="1"/>
  <c r="K21" i="1"/>
  <c r="K11" i="15" s="1"/>
  <c r="F12" i="29"/>
  <c r="J72" i="1"/>
  <c r="J82" i="1" s="1"/>
  <c r="J71" i="1"/>
  <c r="J80" i="1" s="1"/>
  <c r="H43" i="4"/>
  <c r="I11" i="3"/>
  <c r="I16" i="4" s="1"/>
  <c r="H13" i="2"/>
  <c r="H10" i="29" s="1"/>
  <c r="I20" i="15"/>
  <c r="I17" i="3" s="1"/>
  <c r="K54" i="11"/>
  <c r="K10" i="15"/>
  <c r="K8" i="15" s="1"/>
  <c r="L14" i="15"/>
  <c r="L41" i="1"/>
  <c r="L70" i="1" s="1"/>
  <c r="L17" i="1"/>
  <c r="M20" i="1"/>
  <c r="M17" i="1" s="1"/>
  <c r="H10" i="3"/>
  <c r="H87" i="1"/>
  <c r="G17" i="2" s="1"/>
  <c r="G23" i="2" s="1"/>
  <c r="K12" i="11"/>
  <c r="M41" i="1"/>
  <c r="M70" i="1" s="1"/>
  <c r="M14" i="15"/>
  <c r="M13" i="15" s="1"/>
  <c r="G7" i="5"/>
  <c r="G8" i="29"/>
  <c r="G26" i="5"/>
  <c r="L53" i="11"/>
  <c r="M51" i="11"/>
  <c r="M53" i="11" s="1"/>
  <c r="M11" i="11" s="1"/>
  <c r="H8" i="2"/>
  <c r="I84" i="1"/>
  <c r="H12" i="3"/>
  <c r="H18" i="4" s="1"/>
  <c r="H18" i="3"/>
  <c r="H20" i="3" s="1"/>
  <c r="H29" i="3"/>
  <c r="G15" i="3"/>
  <c r="G22" i="3" s="1"/>
  <c r="G17" i="4"/>
  <c r="G15" i="4" s="1"/>
  <c r="I32" i="3"/>
  <c r="M28" i="1"/>
  <c r="M25" i="1" s="1"/>
  <c r="M12" i="15" s="1"/>
  <c r="L25" i="1"/>
  <c r="L12" i="15" s="1"/>
  <c r="F15" i="3"/>
  <c r="F22" i="3" s="1"/>
  <c r="F17" i="4"/>
  <c r="F15" i="4" s="1"/>
  <c r="K36" i="25"/>
  <c r="J38" i="25"/>
  <c r="M44" i="7"/>
  <c r="L58" i="7"/>
  <c r="G11" i="4"/>
  <c r="K72" i="7"/>
  <c r="K89" i="7"/>
  <c r="K100" i="7" s="1"/>
  <c r="I172" i="25"/>
  <c r="I55" i="25"/>
  <c r="K80" i="25"/>
  <c r="J79" i="25"/>
  <c r="J93" i="25" s="1"/>
  <c r="J99" i="7"/>
  <c r="I30" i="3" s="1"/>
  <c r="J101" i="7"/>
  <c r="I31" i="3" s="1"/>
  <c r="M41" i="7"/>
  <c r="L55" i="7"/>
  <c r="J90" i="7"/>
  <c r="J94" i="7" s="1"/>
  <c r="H15" i="2" s="1"/>
  <c r="J81" i="7"/>
  <c r="J83" i="7" s="1"/>
  <c r="K88" i="7"/>
  <c r="K71" i="7"/>
  <c r="K66" i="7"/>
  <c r="K73" i="7" s="1"/>
  <c r="K91" i="7" s="1"/>
  <c r="I102" i="7"/>
  <c r="N86" i="7"/>
  <c r="N97" i="7" s="1"/>
  <c r="N11" i="7"/>
  <c r="N40" i="7" s="1"/>
  <c r="N54" i="7" s="1"/>
  <c r="N69" i="7"/>
  <c r="L21" i="5"/>
  <c r="L25" i="5"/>
  <c r="L16" i="5"/>
  <c r="L10" i="5"/>
  <c r="P43" i="6"/>
  <c r="O53" i="6"/>
  <c r="K14" i="2"/>
  <c r="B27" i="5" l="1"/>
  <c r="G174" i="25"/>
  <c r="F24" i="3"/>
  <c r="F14" i="20" s="1"/>
  <c r="F17" i="20" s="1"/>
  <c r="L13" i="15"/>
  <c r="F9" i="18"/>
  <c r="F12" i="18" s="1"/>
  <c r="F14" i="9" s="1"/>
  <c r="F20" i="9" s="1"/>
  <c r="F103" i="9"/>
  <c r="E28" i="2" s="1"/>
  <c r="F24" i="20" s="1"/>
  <c r="C22" i="3"/>
  <c r="C24" i="3" s="1"/>
  <c r="C8" i="9" s="1"/>
  <c r="C10" i="9" s="1"/>
  <c r="J18" i="15"/>
  <c r="J20" i="15" s="1"/>
  <c r="J17" i="3" s="1"/>
  <c r="G10" i="18"/>
  <c r="F26" i="2"/>
  <c r="C10" i="29"/>
  <c r="C12" i="29" s="1"/>
  <c r="C13" i="29" s="1"/>
  <c r="C26" i="5"/>
  <c r="C23" i="2"/>
  <c r="C26" i="2" s="1"/>
  <c r="K55" i="9"/>
  <c r="K59" i="9"/>
  <c r="H174" i="25"/>
  <c r="G181" i="25"/>
  <c r="G12" i="4" s="1"/>
  <c r="M77" i="1"/>
  <c r="C14" i="18"/>
  <c r="H11" i="4"/>
  <c r="E19" i="5"/>
  <c r="F10" i="4"/>
  <c r="F9" i="4" s="1"/>
  <c r="F23" i="4" s="1"/>
  <c r="E12" i="5" s="1"/>
  <c r="F182" i="25"/>
  <c r="M161" i="25"/>
  <c r="M160" i="25" s="1"/>
  <c r="L160" i="25"/>
  <c r="B12" i="5"/>
  <c r="B13" i="5"/>
  <c r="D43" i="4"/>
  <c r="D20" i="3"/>
  <c r="I43" i="9"/>
  <c r="I40" i="9"/>
  <c r="L130" i="25"/>
  <c r="M131" i="25"/>
  <c r="M130" i="25" s="1"/>
  <c r="F13" i="29"/>
  <c r="C20" i="20"/>
  <c r="C26" i="20" s="1"/>
  <c r="E29" i="2"/>
  <c r="E30" i="2" s="1"/>
  <c r="F44" i="4" s="1"/>
  <c r="F42" i="4" s="1"/>
  <c r="L41" i="25"/>
  <c r="K47" i="25"/>
  <c r="G33" i="9"/>
  <c r="G29" i="9"/>
  <c r="K103" i="25"/>
  <c r="J102" i="25"/>
  <c r="G175" i="25"/>
  <c r="G180" i="25"/>
  <c r="H173" i="25"/>
  <c r="H44" i="9"/>
  <c r="H45" i="9" s="1"/>
  <c r="J147" i="25"/>
  <c r="I146" i="25"/>
  <c r="L54" i="25"/>
  <c r="M51" i="25"/>
  <c r="M54" i="25" s="1"/>
  <c r="J154" i="25"/>
  <c r="I153" i="25"/>
  <c r="F69" i="11"/>
  <c r="F37" i="4"/>
  <c r="G26" i="2"/>
  <c r="H9" i="18" s="1"/>
  <c r="H12" i="18" s="1"/>
  <c r="E27" i="5"/>
  <c r="D16" i="4"/>
  <c r="D15" i="4" s="1"/>
  <c r="D23" i="4" s="1"/>
  <c r="C13" i="5" s="1"/>
  <c r="D15" i="3"/>
  <c r="I116" i="25"/>
  <c r="I137" i="25" s="1"/>
  <c r="J117" i="25"/>
  <c r="B29" i="2"/>
  <c r="B19" i="5"/>
  <c r="C9" i="18"/>
  <c r="C12" i="18" s="1"/>
  <c r="C14" i="9" s="1"/>
  <c r="C20" i="9" s="1"/>
  <c r="C9" i="20"/>
  <c r="E23" i="4"/>
  <c r="L64" i="7"/>
  <c r="M50" i="7"/>
  <c r="J123" i="25"/>
  <c r="K124" i="25"/>
  <c r="I179" i="25"/>
  <c r="L109" i="25"/>
  <c r="M110" i="25"/>
  <c r="M109" i="25" s="1"/>
  <c r="K29" i="1"/>
  <c r="K69" i="1" s="1"/>
  <c r="J172" i="25"/>
  <c r="M24" i="1"/>
  <c r="M21" i="1" s="1"/>
  <c r="M11" i="15" s="1"/>
  <c r="L21" i="1"/>
  <c r="L11" i="15" s="1"/>
  <c r="F20" i="20"/>
  <c r="I43" i="4"/>
  <c r="J11" i="3"/>
  <c r="J16" i="4" s="1"/>
  <c r="I13" i="2"/>
  <c r="I10" i="29" s="1"/>
  <c r="I87" i="1"/>
  <c r="H17" i="2" s="1"/>
  <c r="H23" i="2" s="1"/>
  <c r="I10" i="3"/>
  <c r="G24" i="3"/>
  <c r="M10" i="15"/>
  <c r="H7" i="5"/>
  <c r="H26" i="5"/>
  <c r="H8" i="29"/>
  <c r="K71" i="1"/>
  <c r="K80" i="1" s="1"/>
  <c r="K72" i="1"/>
  <c r="K82" i="1" s="1"/>
  <c r="H17" i="4"/>
  <c r="H15" i="4" s="1"/>
  <c r="H15" i="3"/>
  <c r="H22" i="3" s="1"/>
  <c r="H24" i="3" s="1"/>
  <c r="L10" i="15"/>
  <c r="L54" i="11"/>
  <c r="L11" i="11"/>
  <c r="K18" i="15"/>
  <c r="K16" i="15"/>
  <c r="I8" i="2"/>
  <c r="J84" i="1"/>
  <c r="G12" i="29"/>
  <c r="G13" i="29" s="1"/>
  <c r="I18" i="3"/>
  <c r="I20" i="3" s="1"/>
  <c r="I29" i="3"/>
  <c r="I12" i="3"/>
  <c r="I18" i="4" s="1"/>
  <c r="L12" i="11"/>
  <c r="L80" i="25"/>
  <c r="K79" i="25"/>
  <c r="K93" i="25" s="1"/>
  <c r="L89" i="7"/>
  <c r="L100" i="7" s="1"/>
  <c r="L72" i="7"/>
  <c r="I11" i="4"/>
  <c r="N44" i="7"/>
  <c r="N58" i="7" s="1"/>
  <c r="M58" i="7"/>
  <c r="J179" i="25"/>
  <c r="J55" i="25"/>
  <c r="L36" i="25"/>
  <c r="K38" i="25"/>
  <c r="M55" i="7"/>
  <c r="N41" i="7"/>
  <c r="N55" i="7" s="1"/>
  <c r="K81" i="7"/>
  <c r="K83" i="7" s="1"/>
  <c r="K90" i="7"/>
  <c r="K94" i="7" s="1"/>
  <c r="I15" i="2" s="1"/>
  <c r="J102" i="7"/>
  <c r="K99" i="7"/>
  <c r="J30" i="3" s="1"/>
  <c r="K101" i="7"/>
  <c r="L71" i="7"/>
  <c r="L88" i="7"/>
  <c r="L66" i="7"/>
  <c r="L73" i="7" s="1"/>
  <c r="L91" i="7" s="1"/>
  <c r="L14" i="2"/>
  <c r="P53" i="6"/>
  <c r="P49" i="6"/>
  <c r="F14" i="18" l="1"/>
  <c r="C21" i="18"/>
  <c r="C29" i="11" s="1"/>
  <c r="F16" i="18"/>
  <c r="J32" i="3"/>
  <c r="G27" i="5"/>
  <c r="E31" i="2"/>
  <c r="E11" i="5" s="1"/>
  <c r="E28" i="5"/>
  <c r="G21" i="20"/>
  <c r="D22" i="3"/>
  <c r="D24" i="3" s="1"/>
  <c r="D8" i="9" s="1"/>
  <c r="D10" i="9" s="1"/>
  <c r="C14" i="20"/>
  <c r="C17" i="20" s="1"/>
  <c r="C27" i="20" s="1"/>
  <c r="C28" i="20" s="1"/>
  <c r="C30" i="20" s="1"/>
  <c r="C16" i="18"/>
  <c r="E13" i="5"/>
  <c r="D14" i="20"/>
  <c r="M29" i="1"/>
  <c r="M69" i="1" s="1"/>
  <c r="M71" i="1" s="1"/>
  <c r="M80" i="1" s="1"/>
  <c r="J116" i="25"/>
  <c r="J137" i="25" s="1"/>
  <c r="K117" i="25"/>
  <c r="J153" i="25"/>
  <c r="K154" i="25"/>
  <c r="K147" i="25"/>
  <c r="J146" i="25"/>
  <c r="G10" i="4"/>
  <c r="G9" i="4" s="1"/>
  <c r="G23" i="4" s="1"/>
  <c r="F13" i="5" s="1"/>
  <c r="G182" i="25"/>
  <c r="G31" i="9"/>
  <c r="G103" i="9" s="1"/>
  <c r="F28" i="2" s="1"/>
  <c r="L56" i="9"/>
  <c r="L53" i="9"/>
  <c r="H27" i="9"/>
  <c r="G101" i="9"/>
  <c r="G39" i="4" s="1"/>
  <c r="H30" i="9"/>
  <c r="H104" i="9" s="1"/>
  <c r="H23" i="20" s="1"/>
  <c r="K57" i="9"/>
  <c r="K58" i="9" s="1"/>
  <c r="I42" i="9"/>
  <c r="I46" i="9"/>
  <c r="C19" i="5"/>
  <c r="C29" i="2"/>
  <c r="D9" i="18"/>
  <c r="D12" i="18" s="1"/>
  <c r="D9" i="20"/>
  <c r="C12" i="5"/>
  <c r="G9" i="20"/>
  <c r="F27" i="5"/>
  <c r="G9" i="18"/>
  <c r="G12" i="18" s="1"/>
  <c r="G14" i="9" s="1"/>
  <c r="G20" i="9" s="1"/>
  <c r="H9" i="20"/>
  <c r="L8" i="15"/>
  <c r="D13" i="5"/>
  <c r="D12" i="5"/>
  <c r="B28" i="5"/>
  <c r="B30" i="2"/>
  <c r="I167" i="25"/>
  <c r="I168" i="25" s="1"/>
  <c r="H24" i="2" s="1"/>
  <c r="I173" i="25"/>
  <c r="H175" i="25"/>
  <c r="H180" i="25"/>
  <c r="L103" i="25"/>
  <c r="K102" i="25"/>
  <c r="M41" i="25"/>
  <c r="M47" i="25" s="1"/>
  <c r="L47" i="25"/>
  <c r="H181" i="25"/>
  <c r="H12" i="4" s="1"/>
  <c r="C27" i="5"/>
  <c r="F21" i="18"/>
  <c r="F29" i="11" s="1"/>
  <c r="F9" i="11" s="1"/>
  <c r="F14" i="11" s="1"/>
  <c r="M8" i="15"/>
  <c r="K123" i="25"/>
  <c r="L124" i="25"/>
  <c r="M64" i="7"/>
  <c r="N50" i="7"/>
  <c r="N64" i="7" s="1"/>
  <c r="K102" i="7"/>
  <c r="J31" i="3"/>
  <c r="K32" i="3"/>
  <c r="L29" i="1"/>
  <c r="L69" i="1" s="1"/>
  <c r="G14" i="20"/>
  <c r="G20" i="20"/>
  <c r="G14" i="18"/>
  <c r="J43" i="4"/>
  <c r="M18" i="15"/>
  <c r="M16" i="15"/>
  <c r="E22" i="5"/>
  <c r="F49" i="4"/>
  <c r="E18" i="5" s="1"/>
  <c r="E23" i="5"/>
  <c r="I8" i="29"/>
  <c r="I7" i="5"/>
  <c r="I26" i="5"/>
  <c r="E8" i="5"/>
  <c r="L16" i="15"/>
  <c r="L18" i="15"/>
  <c r="J13" i="2"/>
  <c r="J10" i="29" s="1"/>
  <c r="K11" i="3"/>
  <c r="K16" i="4" s="1"/>
  <c r="K20" i="15"/>
  <c r="K17" i="3" s="1"/>
  <c r="H14" i="20"/>
  <c r="H20" i="20"/>
  <c r="H14" i="18"/>
  <c r="H21" i="18" s="1"/>
  <c r="K84" i="1"/>
  <c r="J8" i="2"/>
  <c r="J87" i="1"/>
  <c r="I17" i="2" s="1"/>
  <c r="I23" i="2" s="1"/>
  <c r="J10" i="3"/>
  <c r="H12" i="29"/>
  <c r="L71" i="1"/>
  <c r="L80" i="1" s="1"/>
  <c r="L72" i="1"/>
  <c r="L82" i="1" s="1"/>
  <c r="I15" i="3"/>
  <c r="I22" i="3" s="1"/>
  <c r="I24" i="3" s="1"/>
  <c r="I17" i="4"/>
  <c r="I15" i="4" s="1"/>
  <c r="M72" i="7"/>
  <c r="M89" i="7"/>
  <c r="M100" i="7" s="1"/>
  <c r="J11" i="4"/>
  <c r="N72" i="7"/>
  <c r="N89" i="7"/>
  <c r="N100" i="7" s="1"/>
  <c r="K172" i="25"/>
  <c r="K179" i="25" s="1"/>
  <c r="M36" i="25"/>
  <c r="M38" i="25" s="1"/>
  <c r="L38" i="25"/>
  <c r="M80" i="25"/>
  <c r="M79" i="25" s="1"/>
  <c r="M93" i="25" s="1"/>
  <c r="L79" i="25"/>
  <c r="L93" i="25" s="1"/>
  <c r="K55" i="25"/>
  <c r="H14" i="9"/>
  <c r="H20" i="9" s="1"/>
  <c r="N71" i="7"/>
  <c r="N88" i="7"/>
  <c r="N66" i="7"/>
  <c r="N73" i="7" s="1"/>
  <c r="N91" i="7" s="1"/>
  <c r="M71" i="7"/>
  <c r="M66" i="7"/>
  <c r="M73" i="7" s="1"/>
  <c r="M91" i="7" s="1"/>
  <c r="M88" i="7"/>
  <c r="L99" i="7"/>
  <c r="K30" i="3" s="1"/>
  <c r="L101" i="7"/>
  <c r="K31" i="3" s="1"/>
  <c r="L90" i="7"/>
  <c r="L94" i="7" s="1"/>
  <c r="J15" i="2" s="1"/>
  <c r="L81" i="7"/>
  <c r="L83" i="7" s="1"/>
  <c r="C49" i="11"/>
  <c r="C23" i="18"/>
  <c r="J18" i="3" l="1"/>
  <c r="J20" i="3" s="1"/>
  <c r="J29" i="3"/>
  <c r="J12" i="3"/>
  <c r="J18" i="4" s="1"/>
  <c r="F32" i="4"/>
  <c r="D20" i="20"/>
  <c r="D14" i="18"/>
  <c r="D16" i="18" s="1"/>
  <c r="E24" i="3"/>
  <c r="E20" i="20" s="1"/>
  <c r="F12" i="5"/>
  <c r="G24" i="20"/>
  <c r="F29" i="2"/>
  <c r="F19" i="5"/>
  <c r="I10" i="18"/>
  <c r="H26" i="2"/>
  <c r="M103" i="25"/>
  <c r="M102" i="25" s="1"/>
  <c r="L102" i="25"/>
  <c r="J40" i="9"/>
  <c r="J43" i="9"/>
  <c r="K146" i="25"/>
  <c r="L147" i="25"/>
  <c r="B31" i="2"/>
  <c r="D21" i="20"/>
  <c r="D26" i="20" s="1"/>
  <c r="C44" i="4"/>
  <c r="C42" i="4" s="1"/>
  <c r="E14" i="20"/>
  <c r="E17" i="20" s="1"/>
  <c r="K153" i="25"/>
  <c r="L154" i="25"/>
  <c r="M72" i="1"/>
  <c r="M82" i="1" s="1"/>
  <c r="G26" i="20"/>
  <c r="C28" i="5"/>
  <c r="G69" i="11"/>
  <c r="G37" i="4"/>
  <c r="G32" i="9"/>
  <c r="H10" i="4"/>
  <c r="H9" i="4" s="1"/>
  <c r="H23" i="4" s="1"/>
  <c r="H182" i="25"/>
  <c r="D14" i="9"/>
  <c r="D20" i="9" s="1"/>
  <c r="I44" i="9"/>
  <c r="I45" i="9"/>
  <c r="D17" i="20"/>
  <c r="H13" i="29"/>
  <c r="H17" i="20"/>
  <c r="G17" i="20"/>
  <c r="I174" i="25"/>
  <c r="I175" i="25" s="1"/>
  <c r="J173" i="25"/>
  <c r="I180" i="25"/>
  <c r="H33" i="9"/>
  <c r="H29" i="9"/>
  <c r="L55" i="9"/>
  <c r="L59" i="9"/>
  <c r="J167" i="25"/>
  <c r="J168" i="25" s="1"/>
  <c r="I24" i="2" s="1"/>
  <c r="K116" i="25"/>
  <c r="K137" i="25" s="1"/>
  <c r="L117" i="25"/>
  <c r="H16" i="18"/>
  <c r="M124" i="25"/>
  <c r="M123" i="25" s="1"/>
  <c r="L123" i="25"/>
  <c r="K29" i="3"/>
  <c r="K12" i="3"/>
  <c r="K18" i="4" s="1"/>
  <c r="K18" i="3"/>
  <c r="K20" i="3" s="1"/>
  <c r="L32" i="3"/>
  <c r="M20" i="15"/>
  <c r="M17" i="3" s="1"/>
  <c r="M11" i="3"/>
  <c r="M16" i="4" s="1"/>
  <c r="L13" i="2"/>
  <c r="L10" i="29" s="1"/>
  <c r="G16" i="18"/>
  <c r="G21" i="18"/>
  <c r="L11" i="3"/>
  <c r="L16" i="4" s="1"/>
  <c r="L20" i="15"/>
  <c r="L17" i="3" s="1"/>
  <c r="K13" i="2"/>
  <c r="K10" i="29" s="1"/>
  <c r="K10" i="3"/>
  <c r="K87" i="1"/>
  <c r="J17" i="2" s="1"/>
  <c r="J23" i="2" s="1"/>
  <c r="I14" i="20"/>
  <c r="I14" i="18"/>
  <c r="I20" i="20"/>
  <c r="M32" i="3"/>
  <c r="K8" i="2"/>
  <c r="L84" i="1"/>
  <c r="M84" i="1"/>
  <c r="L8" i="2"/>
  <c r="I12" i="29"/>
  <c r="J8" i="29"/>
  <c r="J7" i="5"/>
  <c r="J26" i="5"/>
  <c r="J15" i="3"/>
  <c r="J22" i="3" s="1"/>
  <c r="J24" i="3" s="1"/>
  <c r="J17" i="4"/>
  <c r="J15" i="4" s="1"/>
  <c r="K43" i="4"/>
  <c r="K11" i="4"/>
  <c r="L55" i="25"/>
  <c r="M172" i="25"/>
  <c r="M179" i="25" s="1"/>
  <c r="M55" i="25"/>
  <c r="L172" i="25"/>
  <c r="H29" i="11"/>
  <c r="H9" i="11" s="1"/>
  <c r="H14" i="11" s="1"/>
  <c r="N99" i="7"/>
  <c r="M30" i="3" s="1"/>
  <c r="N101" i="7"/>
  <c r="N90" i="7"/>
  <c r="N94" i="7" s="1"/>
  <c r="L15" i="2" s="1"/>
  <c r="N81" i="7"/>
  <c r="N83" i="7" s="1"/>
  <c r="M101" i="7"/>
  <c r="L31" i="3" s="1"/>
  <c r="M99" i="7"/>
  <c r="M81" i="7"/>
  <c r="M83" i="7" s="1"/>
  <c r="M90" i="7"/>
  <c r="M94" i="7" s="1"/>
  <c r="K15" i="2" s="1"/>
  <c r="L102" i="7"/>
  <c r="C56" i="11"/>
  <c r="C34" i="11"/>
  <c r="C9" i="11"/>
  <c r="D21" i="18" l="1"/>
  <c r="E14" i="18"/>
  <c r="G27" i="20"/>
  <c r="J10" i="18"/>
  <c r="I26" i="2"/>
  <c r="G13" i="5"/>
  <c r="G12" i="5"/>
  <c r="K167" i="25"/>
  <c r="I13" i="29"/>
  <c r="L57" i="9"/>
  <c r="L58" i="9"/>
  <c r="I10" i="4"/>
  <c r="D27" i="20"/>
  <c r="D28" i="20" s="1"/>
  <c r="D49" i="11"/>
  <c r="D56" i="11" s="1"/>
  <c r="P52" i="11" s="1"/>
  <c r="D29" i="11"/>
  <c r="D9" i="11" s="1"/>
  <c r="D14" i="11" s="1"/>
  <c r="P9" i="11" s="1"/>
  <c r="D23" i="18"/>
  <c r="H27" i="5"/>
  <c r="I9" i="20"/>
  <c r="I17" i="20" s="1"/>
  <c r="I9" i="18"/>
  <c r="I12" i="18" s="1"/>
  <c r="I14" i="9" s="1"/>
  <c r="I20" i="9" s="1"/>
  <c r="F30" i="2"/>
  <c r="F31" i="2" s="1"/>
  <c r="F28" i="5"/>
  <c r="H31" i="9"/>
  <c r="H103" i="9" s="1"/>
  <c r="G28" i="2" s="1"/>
  <c r="J180" i="25"/>
  <c r="E21" i="18"/>
  <c r="F23" i="18" s="1"/>
  <c r="E16" i="18"/>
  <c r="B11" i="5"/>
  <c r="B8" i="5"/>
  <c r="C32" i="4"/>
  <c r="C32" i="2"/>
  <c r="C30" i="2" s="1"/>
  <c r="J46" i="9"/>
  <c r="J42" i="9"/>
  <c r="M56" i="9"/>
  <c r="M53" i="9"/>
  <c r="K173" i="25"/>
  <c r="K168" i="25"/>
  <c r="J24" i="2" s="1"/>
  <c r="K10" i="18" s="1"/>
  <c r="B22" i="5"/>
  <c r="C49" i="4"/>
  <c r="B23" i="5"/>
  <c r="M117" i="25"/>
  <c r="M116" i="25" s="1"/>
  <c r="M137" i="25" s="1"/>
  <c r="L116" i="25"/>
  <c r="L137" i="25" s="1"/>
  <c r="I27" i="9"/>
  <c r="I30" i="9"/>
  <c r="I104" i="9" s="1"/>
  <c r="I23" i="20" s="1"/>
  <c r="H101" i="9"/>
  <c r="H39" i="4" s="1"/>
  <c r="J174" i="25"/>
  <c r="I181" i="25"/>
  <c r="I12" i="4" s="1"/>
  <c r="L153" i="25"/>
  <c r="M154" i="25"/>
  <c r="M153" i="25" s="1"/>
  <c r="M147" i="25"/>
  <c r="M146" i="25" s="1"/>
  <c r="M167" i="25" s="1"/>
  <c r="L146" i="25"/>
  <c r="M102" i="7"/>
  <c r="L30" i="3"/>
  <c r="N102" i="7"/>
  <c r="M31" i="3"/>
  <c r="M29" i="3" s="1"/>
  <c r="J12" i="29"/>
  <c r="M43" i="4"/>
  <c r="I16" i="18"/>
  <c r="L7" i="5"/>
  <c r="L26" i="5"/>
  <c r="L8" i="29"/>
  <c r="M87" i="1"/>
  <c r="L17" i="2" s="1"/>
  <c r="L23" i="2" s="1"/>
  <c r="M10" i="3"/>
  <c r="L43" i="4"/>
  <c r="K7" i="5"/>
  <c r="K8" i="29"/>
  <c r="K26" i="5"/>
  <c r="K17" i="4"/>
  <c r="K15" i="4" s="1"/>
  <c r="K15" i="3"/>
  <c r="K22" i="3" s="1"/>
  <c r="K24" i="3" s="1"/>
  <c r="E8" i="9"/>
  <c r="E10" i="9" s="1"/>
  <c r="J14" i="18"/>
  <c r="J14" i="20"/>
  <c r="J20" i="20"/>
  <c r="L87" i="1"/>
  <c r="K17" i="2" s="1"/>
  <c r="K23" i="2" s="1"/>
  <c r="L10" i="3"/>
  <c r="G29" i="11"/>
  <c r="G9" i="11" s="1"/>
  <c r="G14" i="11" s="1"/>
  <c r="M11" i="4"/>
  <c r="L179" i="25"/>
  <c r="C14" i="11"/>
  <c r="P28" i="11"/>
  <c r="Q28" i="11" s="1"/>
  <c r="C36" i="11"/>
  <c r="C58" i="11"/>
  <c r="P51" i="11"/>
  <c r="Q51" i="11" s="1"/>
  <c r="M168" i="25" l="1"/>
  <c r="L24" i="2" s="1"/>
  <c r="M10" i="18" s="1"/>
  <c r="I21" i="18"/>
  <c r="I182" i="25"/>
  <c r="J13" i="29"/>
  <c r="M12" i="3"/>
  <c r="M18" i="4" s="1"/>
  <c r="M18" i="3"/>
  <c r="M20" i="3" s="1"/>
  <c r="H23" i="18"/>
  <c r="D58" i="11"/>
  <c r="H24" i="20"/>
  <c r="G29" i="2"/>
  <c r="G19" i="5"/>
  <c r="E21" i="20"/>
  <c r="E26" i="20" s="1"/>
  <c r="E27" i="20" s="1"/>
  <c r="E28" i="20" s="1"/>
  <c r="D44" i="4"/>
  <c r="D42" i="4" s="1"/>
  <c r="C31" i="2"/>
  <c r="L173" i="25"/>
  <c r="L167" i="25"/>
  <c r="L168" i="25" s="1"/>
  <c r="K24" i="2" s="1"/>
  <c r="G23" i="18"/>
  <c r="K180" i="25"/>
  <c r="K43" i="9"/>
  <c r="K40" i="9"/>
  <c r="J10" i="4"/>
  <c r="H32" i="9"/>
  <c r="F8" i="5"/>
  <c r="F11" i="5"/>
  <c r="G32" i="4"/>
  <c r="I27" i="5"/>
  <c r="J9" i="18"/>
  <c r="J12" i="18" s="1"/>
  <c r="J14" i="9" s="1"/>
  <c r="J20" i="9" s="1"/>
  <c r="J9" i="20"/>
  <c r="J17" i="20" s="1"/>
  <c r="L26" i="2"/>
  <c r="L27" i="5" s="1"/>
  <c r="I29" i="9"/>
  <c r="I33" i="9"/>
  <c r="J44" i="9"/>
  <c r="J45" i="9"/>
  <c r="D29" i="4"/>
  <c r="C33" i="4"/>
  <c r="C51" i="4" s="1"/>
  <c r="C53" i="4" s="1"/>
  <c r="E29" i="11"/>
  <c r="E9" i="11" s="1"/>
  <c r="E14" i="11" s="1"/>
  <c r="P10" i="11" s="1"/>
  <c r="I9" i="4"/>
  <c r="I23" i="4" s="1"/>
  <c r="J26" i="2"/>
  <c r="K174" i="25"/>
  <c r="J181" i="25"/>
  <c r="J12" i="4" s="1"/>
  <c r="H69" i="11"/>
  <c r="H37" i="4"/>
  <c r="B18" i="5"/>
  <c r="M59" i="9"/>
  <c r="M55" i="9"/>
  <c r="J175" i="25"/>
  <c r="H21" i="20"/>
  <c r="G44" i="4"/>
  <c r="G42" i="4" s="1"/>
  <c r="E23" i="18"/>
  <c r="D30" i="20"/>
  <c r="L18" i="3"/>
  <c r="L20" i="3" s="1"/>
  <c r="L12" i="3"/>
  <c r="L18" i="4" s="1"/>
  <c r="L29" i="3"/>
  <c r="I29" i="11"/>
  <c r="I9" i="11" s="1"/>
  <c r="I14" i="11" s="1"/>
  <c r="L17" i="4"/>
  <c r="M17" i="4"/>
  <c r="L12" i="29"/>
  <c r="L13" i="29" s="1"/>
  <c r="I23" i="18"/>
  <c r="K12" i="29"/>
  <c r="K14" i="18"/>
  <c r="K14" i="20"/>
  <c r="K20" i="20"/>
  <c r="F8" i="9"/>
  <c r="F10" i="9" s="1"/>
  <c r="L11" i="4"/>
  <c r="R51" i="11"/>
  <c r="Q52" i="11"/>
  <c r="R28" i="11"/>
  <c r="C16" i="11"/>
  <c r="D16" i="11" s="1"/>
  <c r="P8" i="11"/>
  <c r="Q8" i="11" s="1"/>
  <c r="M15" i="4" l="1"/>
  <c r="M15" i="3"/>
  <c r="M22" i="3" s="1"/>
  <c r="L15" i="4"/>
  <c r="M9" i="20"/>
  <c r="E16" i="11"/>
  <c r="F16" i="11" s="1"/>
  <c r="G16" i="11" s="1"/>
  <c r="H16" i="11" s="1"/>
  <c r="I16" i="11" s="1"/>
  <c r="H26" i="20"/>
  <c r="H27" i="20" s="1"/>
  <c r="M9" i="18"/>
  <c r="M12" i="18" s="1"/>
  <c r="M14" i="9" s="1"/>
  <c r="M20" i="9" s="1"/>
  <c r="L10" i="18"/>
  <c r="K26" i="2"/>
  <c r="E30" i="20"/>
  <c r="H13" i="5"/>
  <c r="H12" i="5"/>
  <c r="I31" i="9"/>
  <c r="I32" i="9" s="1"/>
  <c r="D49" i="4"/>
  <c r="C22" i="5"/>
  <c r="C23" i="5"/>
  <c r="K13" i="29"/>
  <c r="M57" i="9"/>
  <c r="M58" i="9" s="1"/>
  <c r="L174" i="25"/>
  <c r="L175" i="25" s="1"/>
  <c r="K181" i="25"/>
  <c r="K12" i="4" s="1"/>
  <c r="J182" i="25"/>
  <c r="K10" i="4"/>
  <c r="J16" i="18"/>
  <c r="L15" i="3"/>
  <c r="L22" i="3" s="1"/>
  <c r="L24" i="3" s="1"/>
  <c r="L20" i="20" s="1"/>
  <c r="G49" i="4"/>
  <c r="F18" i="5" s="1"/>
  <c r="F22" i="5"/>
  <c r="F23" i="5"/>
  <c r="J9" i="4"/>
  <c r="J23" i="4" s="1"/>
  <c r="K175" i="25"/>
  <c r="L180" i="25"/>
  <c r="M173" i="25"/>
  <c r="G28" i="5"/>
  <c r="G30" i="2"/>
  <c r="J21" i="18"/>
  <c r="J23" i="18" s="1"/>
  <c r="K9" i="20"/>
  <c r="K17" i="20" s="1"/>
  <c r="K9" i="18"/>
  <c r="K12" i="18" s="1"/>
  <c r="K14" i="9" s="1"/>
  <c r="K20" i="9" s="1"/>
  <c r="J27" i="5"/>
  <c r="C70" i="11"/>
  <c r="B17" i="5"/>
  <c r="B14" i="5"/>
  <c r="J27" i="9"/>
  <c r="J30" i="9"/>
  <c r="J104" i="9" s="1"/>
  <c r="J23" i="20" s="1"/>
  <c r="E49" i="11" s="1"/>
  <c r="E56" i="11" s="1"/>
  <c r="I101" i="9"/>
  <c r="I39" i="4" s="1"/>
  <c r="K42" i="9"/>
  <c r="K46" i="9"/>
  <c r="C8" i="5"/>
  <c r="C11" i="5"/>
  <c r="D32" i="2"/>
  <c r="D30" i="2" s="1"/>
  <c r="D32" i="4"/>
  <c r="D33" i="4" s="1"/>
  <c r="C14" i="5" s="1"/>
  <c r="L14" i="20"/>
  <c r="Q9" i="11"/>
  <c r="R8" i="11"/>
  <c r="R52" i="11"/>
  <c r="G8" i="9" l="1"/>
  <c r="G10" i="9" s="1"/>
  <c r="K9" i="4"/>
  <c r="K23" i="4" s="1"/>
  <c r="K182" i="25"/>
  <c r="K16" i="18"/>
  <c r="I103" i="9"/>
  <c r="H28" i="2" s="1"/>
  <c r="H29" i="2" s="1"/>
  <c r="I24" i="20"/>
  <c r="I49" i="11"/>
  <c r="I56" i="11" s="1"/>
  <c r="C75" i="11"/>
  <c r="C71" i="11"/>
  <c r="C72" i="11" s="1"/>
  <c r="M180" i="25"/>
  <c r="J13" i="5"/>
  <c r="J12" i="5"/>
  <c r="K21" i="18"/>
  <c r="K23" i="18" s="1"/>
  <c r="I69" i="11"/>
  <c r="I37" i="4"/>
  <c r="I13" i="5"/>
  <c r="I12" i="5"/>
  <c r="L181" i="25"/>
  <c r="L12" i="4" s="1"/>
  <c r="M174" i="25"/>
  <c r="M181" i="25" s="1"/>
  <c r="M12" i="4" s="1"/>
  <c r="J29" i="11"/>
  <c r="J9" i="11" s="1"/>
  <c r="J14" i="11" s="1"/>
  <c r="P11" i="11" s="1"/>
  <c r="L14" i="18"/>
  <c r="D70" i="11"/>
  <c r="C17" i="5"/>
  <c r="L40" i="9"/>
  <c r="L43" i="9"/>
  <c r="J29" i="9"/>
  <c r="J33" i="9"/>
  <c r="G31" i="2"/>
  <c r="H44" i="4"/>
  <c r="H42" i="4" s="1"/>
  <c r="I21" i="20"/>
  <c r="L10" i="4"/>
  <c r="D51" i="4"/>
  <c r="D53" i="4" s="1"/>
  <c r="D54" i="4" s="1"/>
  <c r="C18" i="5"/>
  <c r="E29" i="4"/>
  <c r="L9" i="18"/>
  <c r="L12" i="18" s="1"/>
  <c r="L14" i="9" s="1"/>
  <c r="L20" i="9" s="1"/>
  <c r="K27" i="5"/>
  <c r="L9" i="20"/>
  <c r="L17" i="20" s="1"/>
  <c r="P53" i="11"/>
  <c r="Q53" i="11" s="1"/>
  <c r="R53" i="11" s="1"/>
  <c r="E58" i="11"/>
  <c r="M24" i="3"/>
  <c r="M14" i="18" s="1"/>
  <c r="M21" i="18" s="1"/>
  <c r="E44" i="4"/>
  <c r="E42" i="4" s="1"/>
  <c r="D31" i="2"/>
  <c r="F21" i="20"/>
  <c r="F26" i="20" s="1"/>
  <c r="F27" i="20" s="1"/>
  <c r="F28" i="20" s="1"/>
  <c r="K44" i="9"/>
  <c r="K45" i="9" s="1"/>
  <c r="R9" i="11"/>
  <c r="Q10" i="11"/>
  <c r="M16" i="18" l="1"/>
  <c r="H8" i="9"/>
  <c r="H10" i="9" s="1"/>
  <c r="M14" i="20"/>
  <c r="M17" i="20" s="1"/>
  <c r="I26" i="20"/>
  <c r="I27" i="20" s="1"/>
  <c r="H19" i="5"/>
  <c r="J16" i="11"/>
  <c r="L16" i="18"/>
  <c r="C73" i="11"/>
  <c r="M20" i="20"/>
  <c r="G28" i="20"/>
  <c r="F30" i="20"/>
  <c r="J31" i="9"/>
  <c r="J103" i="9" s="1"/>
  <c r="I28" i="2" s="1"/>
  <c r="E32" i="4"/>
  <c r="F29" i="4" s="1"/>
  <c r="J32" i="2"/>
  <c r="D11" i="5"/>
  <c r="D8" i="5"/>
  <c r="H49" i="4"/>
  <c r="G18" i="5" s="1"/>
  <c r="G22" i="5"/>
  <c r="G23" i="5"/>
  <c r="H30" i="2"/>
  <c r="H28" i="5"/>
  <c r="E49" i="4"/>
  <c r="D23" i="5"/>
  <c r="D22" i="5"/>
  <c r="L182" i="25"/>
  <c r="H32" i="4"/>
  <c r="G8" i="5"/>
  <c r="G11" i="5"/>
  <c r="L42" i="9"/>
  <c r="L46" i="9"/>
  <c r="M175" i="25"/>
  <c r="D75" i="11"/>
  <c r="C79" i="11"/>
  <c r="D71" i="11"/>
  <c r="D72" i="11" s="1"/>
  <c r="L21" i="18"/>
  <c r="L29" i="11" s="1"/>
  <c r="L9" i="11" s="1"/>
  <c r="L9" i="4"/>
  <c r="L23" i="4" s="1"/>
  <c r="K27" i="9"/>
  <c r="K30" i="9"/>
  <c r="K104" i="9" s="1"/>
  <c r="K23" i="20" s="1"/>
  <c r="F49" i="11" s="1"/>
  <c r="F56" i="11" s="1"/>
  <c r="J101" i="9"/>
  <c r="J39" i="4" s="1"/>
  <c r="K29" i="11"/>
  <c r="K9" i="11" s="1"/>
  <c r="K14" i="11" s="1"/>
  <c r="P12" i="11" s="1"/>
  <c r="M10" i="4"/>
  <c r="M9" i="4" s="1"/>
  <c r="M182" i="25"/>
  <c r="Q11" i="11"/>
  <c r="R10" i="11"/>
  <c r="C80" i="11" l="1"/>
  <c r="C31" i="11" s="1"/>
  <c r="J32" i="9"/>
  <c r="M23" i="18"/>
  <c r="E33" i="4"/>
  <c r="D14" i="5" s="1"/>
  <c r="L23" i="18"/>
  <c r="D73" i="11"/>
  <c r="J24" i="20"/>
  <c r="I19" i="5"/>
  <c r="I29" i="2"/>
  <c r="J49" i="11"/>
  <c r="J56" i="11" s="1"/>
  <c r="P54" i="11" s="1"/>
  <c r="Q54" i="11" s="1"/>
  <c r="G29" i="4"/>
  <c r="F33" i="4"/>
  <c r="I44" i="4"/>
  <c r="I42" i="4" s="1"/>
  <c r="J21" i="20"/>
  <c r="J26" i="20" s="1"/>
  <c r="J27" i="20" s="1"/>
  <c r="F58" i="11"/>
  <c r="M43" i="9"/>
  <c r="M40" i="9"/>
  <c r="D18" i="5"/>
  <c r="H28" i="20"/>
  <c r="G30" i="20"/>
  <c r="J69" i="11"/>
  <c r="J37" i="4"/>
  <c r="M23" i="4"/>
  <c r="R20" i="11"/>
  <c r="M9" i="11" s="1"/>
  <c r="M14" i="11" s="1"/>
  <c r="K29" i="9"/>
  <c r="K33" i="9"/>
  <c r="L44" i="9"/>
  <c r="L45" i="9" s="1"/>
  <c r="K16" i="11"/>
  <c r="K12" i="5"/>
  <c r="K13" i="5"/>
  <c r="D79" i="11"/>
  <c r="E75" i="11"/>
  <c r="H31" i="2"/>
  <c r="L14" i="11"/>
  <c r="R18" i="11"/>
  <c r="R11" i="11"/>
  <c r="Q12" i="11"/>
  <c r="C20" i="11" l="1"/>
  <c r="E70" i="11"/>
  <c r="D80" i="11"/>
  <c r="D31" i="11" s="1"/>
  <c r="D32" i="11" s="1"/>
  <c r="D34" i="11" s="1"/>
  <c r="D36" i="11" s="1"/>
  <c r="D17" i="5"/>
  <c r="E51" i="4"/>
  <c r="E53" i="4" s="1"/>
  <c r="H8" i="5"/>
  <c r="I32" i="4"/>
  <c r="H11" i="5"/>
  <c r="F75" i="11"/>
  <c r="E79" i="11"/>
  <c r="M46" i="9"/>
  <c r="M42" i="9"/>
  <c r="I49" i="4"/>
  <c r="H18" i="5" s="1"/>
  <c r="H23" i="5"/>
  <c r="H22" i="5"/>
  <c r="I30" i="2"/>
  <c r="I31" i="2" s="1"/>
  <c r="I28" i="5"/>
  <c r="K31" i="9"/>
  <c r="K32" i="9" s="1"/>
  <c r="R54" i="11"/>
  <c r="L13" i="5"/>
  <c r="L12" i="5"/>
  <c r="I28" i="20"/>
  <c r="H30" i="20"/>
  <c r="F70" i="11"/>
  <c r="F51" i="4"/>
  <c r="F53" i="4" s="1"/>
  <c r="E17" i="5"/>
  <c r="E14" i="5"/>
  <c r="E71" i="11"/>
  <c r="E72" i="11" s="1"/>
  <c r="L30" i="9"/>
  <c r="L104" i="9" s="1"/>
  <c r="L23" i="20" s="1"/>
  <c r="G49" i="11" s="1"/>
  <c r="G56" i="11" s="1"/>
  <c r="K101" i="9"/>
  <c r="K39" i="4" s="1"/>
  <c r="L27" i="9"/>
  <c r="H29" i="4"/>
  <c r="G33" i="4"/>
  <c r="P13" i="11"/>
  <c r="Q13" i="11" s="1"/>
  <c r="R13" i="11" s="1"/>
  <c r="L16" i="11"/>
  <c r="M16" i="11" s="1"/>
  <c r="R12" i="11"/>
  <c r="P29" i="11" l="1"/>
  <c r="Q29" i="11" s="1"/>
  <c r="R29" i="11" s="1"/>
  <c r="C22" i="11"/>
  <c r="I11" i="5"/>
  <c r="I8" i="5"/>
  <c r="J32" i="4"/>
  <c r="K69" i="11"/>
  <c r="K37" i="4"/>
  <c r="G51" i="4"/>
  <c r="G53" i="4" s="1"/>
  <c r="F14" i="5"/>
  <c r="F17" i="5"/>
  <c r="G70" i="11"/>
  <c r="G58" i="11"/>
  <c r="I30" i="20"/>
  <c r="J28" i="20"/>
  <c r="I29" i="4"/>
  <c r="H33" i="4"/>
  <c r="E73" i="11"/>
  <c r="E80" i="11" s="1"/>
  <c r="E31" i="11" s="1"/>
  <c r="E32" i="11" s="1"/>
  <c r="E34" i="11" s="1"/>
  <c r="K103" i="9"/>
  <c r="J28" i="2" s="1"/>
  <c r="F79" i="11"/>
  <c r="G75" i="11"/>
  <c r="L29" i="9"/>
  <c r="L33" i="9"/>
  <c r="F71" i="11"/>
  <c r="F72" i="11" s="1"/>
  <c r="K21" i="20"/>
  <c r="J44" i="4"/>
  <c r="J42" i="4" s="1"/>
  <c r="M44" i="9"/>
  <c r="M45" i="9" s="1"/>
  <c r="F73" i="11" l="1"/>
  <c r="F80" i="11" s="1"/>
  <c r="F31" i="11" s="1"/>
  <c r="F32" i="11" s="1"/>
  <c r="F34" i="11" s="1"/>
  <c r="F36" i="11" s="1"/>
  <c r="J49" i="4"/>
  <c r="I23" i="5"/>
  <c r="I22" i="5"/>
  <c r="M30" i="9"/>
  <c r="M104" i="9" s="1"/>
  <c r="M23" i="20" s="1"/>
  <c r="H49" i="11" s="1"/>
  <c r="H56" i="11" s="1"/>
  <c r="L101" i="9"/>
  <c r="L39" i="4" s="1"/>
  <c r="M27" i="9"/>
  <c r="K24" i="20"/>
  <c r="K26" i="20" s="1"/>
  <c r="K27" i="20" s="1"/>
  <c r="K28" i="20" s="1"/>
  <c r="J19" i="5"/>
  <c r="J29" i="2"/>
  <c r="K49" i="11"/>
  <c r="K56" i="11" s="1"/>
  <c r="P55" i="11" s="1"/>
  <c r="Q55" i="11" s="1"/>
  <c r="R55" i="11" s="1"/>
  <c r="J30" i="20"/>
  <c r="L31" i="9"/>
  <c r="L103" i="9" s="1"/>
  <c r="K28" i="2" s="1"/>
  <c r="L32" i="9"/>
  <c r="H75" i="11"/>
  <c r="G79" i="11"/>
  <c r="G14" i="5"/>
  <c r="H51" i="4"/>
  <c r="H53" i="4" s="1"/>
  <c r="G17" i="5"/>
  <c r="H70" i="11"/>
  <c r="E36" i="11"/>
  <c r="P30" i="11"/>
  <c r="Q30" i="11" s="1"/>
  <c r="R30" i="11" s="1"/>
  <c r="J29" i="4"/>
  <c r="I33" i="4"/>
  <c r="G71" i="11"/>
  <c r="G72" i="11" s="1"/>
  <c r="L24" i="20" l="1"/>
  <c r="K29" i="2"/>
  <c r="K19" i="5"/>
  <c r="L49" i="11"/>
  <c r="K30" i="20"/>
  <c r="J58" i="11"/>
  <c r="H58" i="11"/>
  <c r="K58" i="11"/>
  <c r="I58" i="11"/>
  <c r="H17" i="5"/>
  <c r="I70" i="11"/>
  <c r="H14" i="5"/>
  <c r="I51" i="4"/>
  <c r="I53" i="4" s="1"/>
  <c r="H71" i="11"/>
  <c r="H72" i="11" s="1"/>
  <c r="J33" i="4"/>
  <c r="K29" i="4"/>
  <c r="I75" i="11"/>
  <c r="H79" i="11"/>
  <c r="M33" i="9"/>
  <c r="M101" i="9" s="1"/>
  <c r="M39" i="4" s="1"/>
  <c r="M37" i="4" s="1"/>
  <c r="M29" i="9"/>
  <c r="G73" i="11"/>
  <c r="G80" i="11" s="1"/>
  <c r="G31" i="11" s="1"/>
  <c r="G32" i="11" s="1"/>
  <c r="G34" i="11" s="1"/>
  <c r="G36" i="11" s="1"/>
  <c r="J28" i="5"/>
  <c r="J30" i="2"/>
  <c r="L69" i="11"/>
  <c r="L37" i="4"/>
  <c r="I18" i="5"/>
  <c r="J51" i="4"/>
  <c r="J53" i="4" s="1"/>
  <c r="J54" i="4" s="1"/>
  <c r="I79" i="11" l="1"/>
  <c r="J75" i="11"/>
  <c r="L56" i="11"/>
  <c r="R61" i="11"/>
  <c r="M31" i="9"/>
  <c r="J31" i="2"/>
  <c r="K44" i="4"/>
  <c r="K42" i="4" s="1"/>
  <c r="L21" i="20"/>
  <c r="L26" i="20" s="1"/>
  <c r="L27" i="20" s="1"/>
  <c r="L28" i="20" s="1"/>
  <c r="I14" i="5"/>
  <c r="J70" i="11"/>
  <c r="I17" i="5"/>
  <c r="K28" i="5"/>
  <c r="H73" i="11"/>
  <c r="H80" i="11" s="1"/>
  <c r="H31" i="11" s="1"/>
  <c r="H32" i="11" s="1"/>
  <c r="H34" i="11" s="1"/>
  <c r="I71" i="11"/>
  <c r="I72" i="11" s="1"/>
  <c r="M32" i="9" l="1"/>
  <c r="M103" i="9"/>
  <c r="L28" i="2" s="1"/>
  <c r="I73" i="11"/>
  <c r="I80" i="11" s="1"/>
  <c r="I31" i="11" s="1"/>
  <c r="I32" i="11" s="1"/>
  <c r="I34" i="11" s="1"/>
  <c r="I36" i="11" s="1"/>
  <c r="H36" i="11"/>
  <c r="J71" i="11"/>
  <c r="J72" i="11" s="1"/>
  <c r="K32" i="4"/>
  <c r="K32" i="2"/>
  <c r="K30" i="2" s="1"/>
  <c r="J8" i="5"/>
  <c r="J11" i="5"/>
  <c r="L30" i="20"/>
  <c r="K75" i="11"/>
  <c r="J79" i="11"/>
  <c r="M24" i="20"/>
  <c r="L19" i="5"/>
  <c r="L29" i="2"/>
  <c r="P56" i="11"/>
  <c r="Q56" i="11" s="1"/>
  <c r="R56" i="11" s="1"/>
  <c r="C64" i="11" s="1"/>
  <c r="L58" i="11"/>
  <c r="J23" i="5"/>
  <c r="J22" i="5"/>
  <c r="K49" i="4"/>
  <c r="J73" i="11" l="1"/>
  <c r="J80" i="11" s="1"/>
  <c r="J31" i="11" s="1"/>
  <c r="J32" i="11" s="1"/>
  <c r="J34" i="11" s="1"/>
  <c r="J18" i="5"/>
  <c r="M21" i="20"/>
  <c r="M26" i="20" s="1"/>
  <c r="M27" i="20" s="1"/>
  <c r="M28" i="20" s="1"/>
  <c r="M30" i="20" s="1"/>
  <c r="L44" i="4"/>
  <c r="L42" i="4" s="1"/>
  <c r="K31" i="2"/>
  <c r="L28" i="5"/>
  <c r="K79" i="11"/>
  <c r="L75" i="11"/>
  <c r="L79" i="11" s="1"/>
  <c r="L29" i="4"/>
  <c r="K33" i="4"/>
  <c r="K51" i="4" s="1"/>
  <c r="K53" i="4" s="1"/>
  <c r="K54" i="4" s="1"/>
  <c r="P31" i="11" l="1"/>
  <c r="Q31" i="11" s="1"/>
  <c r="R31" i="11" s="1"/>
  <c r="J36" i="11"/>
  <c r="K22" i="5"/>
  <c r="L49" i="4"/>
  <c r="K23" i="5"/>
  <c r="K70" i="11"/>
  <c r="J17" i="5"/>
  <c r="J14" i="5"/>
  <c r="K11" i="5"/>
  <c r="K8" i="5"/>
  <c r="L32" i="2"/>
  <c r="L30" i="2" s="1"/>
  <c r="L32" i="4"/>
  <c r="M29" i="4" s="1"/>
  <c r="K18" i="5" l="1"/>
  <c r="M44" i="4"/>
  <c r="M42" i="4" s="1"/>
  <c r="L31" i="2"/>
  <c r="K71" i="11"/>
  <c r="K72" i="11" s="1"/>
  <c r="L33" i="4"/>
  <c r="K17" i="5" l="1"/>
  <c r="L70" i="11"/>
  <c r="K14" i="5"/>
  <c r="M49" i="4"/>
  <c r="L23" i="5"/>
  <c r="L22" i="5"/>
  <c r="K73" i="11"/>
  <c r="K80" i="11" s="1"/>
  <c r="K31" i="11" s="1"/>
  <c r="K32" i="11" s="1"/>
  <c r="L51" i="4"/>
  <c r="L53" i="4" s="1"/>
  <c r="L54" i="4" s="1"/>
  <c r="L11" i="5"/>
  <c r="M32" i="4"/>
  <c r="M33" i="4" s="1"/>
  <c r="L14" i="5" s="1"/>
  <c r="L8" i="5"/>
  <c r="L18" i="5" l="1"/>
  <c r="M51" i="4"/>
  <c r="M53" i="4" s="1"/>
  <c r="M54" i="4" s="1"/>
  <c r="L71" i="11"/>
  <c r="L72" i="11" s="1"/>
  <c r="K34" i="11"/>
  <c r="R63" i="11"/>
  <c r="M49" i="11" s="1"/>
  <c r="L17" i="5"/>
  <c r="L73" i="11" l="1"/>
  <c r="L80" i="11" s="1"/>
  <c r="L31" i="11" s="1"/>
  <c r="M31" i="11" s="1"/>
  <c r="R37" i="11" s="1"/>
  <c r="M56" i="11"/>
  <c r="C62" i="11"/>
  <c r="K36" i="11"/>
  <c r="P32" i="11"/>
  <c r="Q32" i="11" s="1"/>
  <c r="R32" i="11" s="1"/>
  <c r="L32" i="11" l="1"/>
  <c r="L34" i="11" s="1"/>
  <c r="M58" i="11"/>
  <c r="C60" i="11" s="1"/>
  <c r="P57" i="11"/>
  <c r="Q57" i="11" s="1"/>
  <c r="R57" i="11" s="1"/>
  <c r="R39" i="11" l="1"/>
  <c r="M29" i="11" s="1"/>
  <c r="M34" i="11" s="1"/>
  <c r="M36" i="11" s="1"/>
  <c r="C38" i="11" s="1"/>
  <c r="P33" i="11"/>
  <c r="Q33" i="11" s="1"/>
  <c r="R33" i="11" s="1"/>
  <c r="C42" i="11" s="1"/>
  <c r="L36" i="11"/>
  <c r="C40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tc={F2D94B9E-AF9C-4354-90A2-EA053AD8517D}</author>
    <author>tc={A11A0074-8FC3-424E-B1EE-D9BD7F112001}</author>
    <author>tc={F4B96244-7947-4328-804F-121AD40F4C59}</author>
  </authors>
  <commentList>
    <comment ref="G12" authorId="0" shapeId="0" xr:uid="{F2D94B9E-AF9C-4354-90A2-EA053AD851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Verónica
Reply:
    60€ mensais para segurança +250€ para instalação
Reply:
    !00€ mensais para contabilidade
</t>
      </text>
    </comment>
    <comment ref="E15" authorId="1" shapeId="0" xr:uid="{A11A0074-8FC3-424E-B1EE-D9BD7F11200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100€ contabilidade, 69€ software de apoio ao negócio WinRest360 plano Plus 
</t>
      </text>
    </comment>
    <comment ref="P24" authorId="2" shapeId="0" xr:uid="{F4B96244-7947-4328-804F-121AD40F4C5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Com o aumento das vendas, anualmente, a quantidade de material (tinteiros, canetas, papel térmico aumentam )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tc={9BCFDE19-29F5-4FA4-921F-59EFC57FB250}</author>
    <author>tc={98FB174D-6087-40A6-99AB-8DC3C667957D}</author>
  </authors>
  <commentList>
    <comment ref="F16" authorId="0" shapeId="0" xr:uid="{9BCFDE19-29F5-4FA4-921F-59EFC57FB25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tanque para a cerveja A e mais 3 barris e uma maquina de pressão
</t>
      </text>
    </comment>
    <comment ref="C18" authorId="1" shapeId="0" xr:uid="{98FB174D-6087-40A6-99AB-8DC3C66795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Computador e impressora térmica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tc={F6CD4706-B0C2-4341-83D9-241373AA77D3}</author>
    <author>tc={C0FC106D-09BB-43EF-8E6F-840D285965DE}</author>
  </authors>
  <commentList>
    <comment ref="E3" authorId="0" shapeId="0" xr:uid="{F6CD4706-B0C2-4341-83D9-241373AA77D3}">
      <text>
        <t>[Threaded comment]
Your version of Excel allows you to read this threaded comment; however, any edits to it will get removed if the file is opened in a newer version of Excel. Learn more: https://go.microsoft.com/fwlink/?linkid=870924
Comment:
    Eu</t>
      </text>
    </comment>
    <comment ref="C16" authorId="1" shapeId="0" xr:uid="{C0FC106D-09BB-43EF-8E6F-840D285965D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Cada garrafa custa 0.31 cent e leva 0.33 l de cerveja, ou seja, 25L custam 23.56, certo?
</t>
      </text>
    </comment>
  </commentList>
</comments>
</file>

<file path=xl/sharedStrings.xml><?xml version="1.0" encoding="utf-8"?>
<sst xmlns="http://schemas.openxmlformats.org/spreadsheetml/2006/main" count="746" uniqueCount="489">
  <si>
    <t>Modelo Financeiro                                              do Plano de Negócios</t>
  </si>
  <si>
    <t>IAPMEI</t>
  </si>
  <si>
    <t xml:space="preserve">Duquesa
</t>
  </si>
  <si>
    <t>Data 13/12/2019</t>
  </si>
  <si>
    <t xml:space="preserve">NOTA: A utilização desta ferramenta,  disponibilizada pelo IAPMEI ,  é completamente autónoma  de  qualquer 
outra área/atividade do IAPMEI. Independentemente do fim a que se destine, a utilização da ferramente
 assim   como  dos  resultados  com   ela  obtidos,  é  da  inteira   responsabilidade   de   cada  utilizador.  </t>
  </si>
  <si>
    <t>Regras de utilização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</si>
  <si>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</si>
  <si>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>Principais regras de utilização:</t>
  </si>
  <si>
    <r>
      <t>Ü</t>
    </r>
    <r>
      <rPr>
        <sz val="10"/>
        <rFont val="Arial Narrow"/>
        <family val="2"/>
      </rPr>
      <t xml:space="preserve"> Só devem ser inseridos valores nas células com fundo branco;</t>
    </r>
  </si>
  <si>
    <r>
      <t>Ü</t>
    </r>
    <r>
      <rPr>
        <sz val="10"/>
        <rFont val="Arial Narrow"/>
        <family val="2"/>
      </rPr>
      <t xml:space="preserve"> Os valores que se encontrem a azul,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</si>
  <si>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</si>
  <si>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efectuar uma análise de sensibilidade, utilize este mesmo modelo, mas com diferentes valores.</t>
    </r>
  </si>
  <si>
    <t>Passos para preenchimento: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</si>
  <si>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</si>
  <si>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Colocar o nome da empresa na célula E1 na sheet de "Pressupostos";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</si>
  <si>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</si>
  <si>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Colocar na sheet CMVMC na célula correspondente, as margens brutas de negócio para cada um dos produtos vendidos;</t>
  </si>
  <si>
    <t>Na sheet FSE, estimar um valor médio mensal para cada umas das rubricas que se adaptem à empresa / negócio;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</si>
  <si>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</si>
  <si>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Posteriormente, definir o quadro de investimento da empresa / projecto na sheet de Investimentos, repartida pelas diferentes rubricas de investimento em activo fixo;</t>
  </si>
  <si>
    <t>Na sheet de Fundo Maneio, definir a Reserva de Segurança de Tesouraria. Esta rubrica representa um valor mínimo de disponibilidades a manter ao longo do projecto;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</si>
  <si>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</si>
  <si>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Os inputs do modelo estão inseridos, sendo necessário apenas fazer o acerto de disponibilidades. Assim sendo, na sheet de Plano Financeiro carregar no rectângulo que indica "Acerto do modelo"</t>
  </si>
  <si>
    <t>No caso de pretender considerar um nº superior de produtos serviços do que os previstos na folha VN - recomenda-se:
a) copiar a folha VN para uma folha desprotegida em que poderá considerar todos os produtos
b) Meter o valor total dos produtos para o mercado interno em VN - Produto A e o Valor total de produtos exportados em Exportações - Produto A.</t>
  </si>
  <si>
    <t>Aconselha-se considerar as Imparidades em 0%, pelas implicações a níveld e interpretação, já que apenas serão contabilizadas imparidades sobre Clientes com consequência no valor do F de Maneio.</t>
  </si>
  <si>
    <t>Na folha Financiamento é possível considerar valores positivos (aumentos) ou valor negativos (reembolsos) para as rúbricas:
* Outros instrumentos de capital (+/-)   
* Empréstimos de Sócios (+) ou Reembolsos a sócios (-)
* Financiamento bancário e outras Inst. Crédito
 * Subsidios (+/-)</t>
  </si>
  <si>
    <t>A distribuição de dividendos poderá ser registada na folha PLANO FINANCEIRO Linha 22</t>
  </si>
  <si>
    <t>ACERTAR MODELO: Após carregamento dos dados e sempre que introduza alterações, é necessário carregar na tecla ACERTAR MODELO na folha PLANO FINANCEIRO</t>
  </si>
  <si>
    <t>NOTA</t>
  </si>
  <si>
    <t>No caso de empresas industriais é aconselhado o uso da sheet Calculos Auxiliares. Esta sheet  constitui uma base de cálculo indispensável ao suporte previsional do modelo de projecções.</t>
  </si>
  <si>
    <t>Empresa:</t>
  </si>
  <si>
    <t>DUQUESA</t>
  </si>
  <si>
    <t>Pressupostos Gerais</t>
  </si>
  <si>
    <t>Valide os pressupostos aqui indicados e ajuste-os de acordo com o seu projecto</t>
  </si>
  <si>
    <t>Unidade monetária</t>
  </si>
  <si>
    <t>Euros</t>
  </si>
  <si>
    <t>Ano inicial do projeto (Ano 0)</t>
  </si>
  <si>
    <t xml:space="preserve"> = ano em que inicia o investimento e poderá ou não haver exploração</t>
  </si>
  <si>
    <t>meses</t>
  </si>
  <si>
    <t>Prazo médio de Recebimento (dias) / (meses)</t>
  </si>
  <si>
    <t>A definir em função da prática da empresa e do sector assim como da política a prosseguir</t>
  </si>
  <si>
    <t>Prazo médio de Pagamento (dias) / (meses)</t>
  </si>
  <si>
    <t>Prazo médio de Stockagem (dias) / (meses)</t>
  </si>
  <si>
    <r>
      <t xml:space="preserve">Prazo de pagamento de IVA </t>
    </r>
    <r>
      <rPr>
        <b/>
        <sz val="8"/>
        <color indexed="12"/>
        <rFont val="Arial Narrow"/>
        <family val="2"/>
      </rPr>
      <t xml:space="preserve"> (trim = 4; mensal =12)</t>
    </r>
  </si>
  <si>
    <t>4 = trim; 1 = mensal</t>
  </si>
  <si>
    <t xml:space="preserve">Taxa de IVA - Vendas </t>
  </si>
  <si>
    <t>Em função do tipo de produtos e serviços</t>
  </si>
  <si>
    <t>Taxa de IVA - Prestação Serviços</t>
  </si>
  <si>
    <t>Taxa de IVA - CMVMC</t>
  </si>
  <si>
    <t>Taxa de IVA - FSE</t>
  </si>
  <si>
    <t>Taxa de IVA - Investimento</t>
  </si>
  <si>
    <t>Taxa de Segurança Social - entidade - órgãos sociais</t>
  </si>
  <si>
    <t>Em vigor no ano base</t>
  </si>
  <si>
    <t>Taxa de Segurança Social - entidade - colaboradores</t>
  </si>
  <si>
    <t>Taxa de Segurança Social - pessoal - órgãos sociais</t>
  </si>
  <si>
    <t>Taxa de Segurança Social - pessoal - colaboradores</t>
  </si>
  <si>
    <t xml:space="preserve">Taxa média de IRS </t>
  </si>
  <si>
    <t>A definir em fução do Lei e do valor dos rendimentos do trabalho.</t>
  </si>
  <si>
    <t>Taxa de IRC</t>
  </si>
  <si>
    <t>Definido por Lei - ter em conta Localização e condições específicas da atividade</t>
  </si>
  <si>
    <t>Taxa de Aplicações Financeiras Curto Prazo</t>
  </si>
  <si>
    <t>Ver condições de mercado e risco da empresa na ótica bancári</t>
  </si>
  <si>
    <t>Taxa de juro de empréstimo Curto Prazo</t>
  </si>
  <si>
    <t>Taxa de juro de empréstimo ML Prazo</t>
  </si>
  <si>
    <t>Taxa de juro de ativos sem risco - Rf (Obrig Tesouro)</t>
  </si>
  <si>
    <r>
      <t xml:space="preserve">NOTA: Quando não se aplica </t>
    </r>
    <r>
      <rPr>
        <i/>
        <u/>
        <sz val="8"/>
        <color indexed="12"/>
        <rFont val="Arial Narrow"/>
        <family val="2"/>
      </rPr>
      <t>Beta</t>
    </r>
    <r>
      <rPr>
        <sz val="8"/>
        <color indexed="12"/>
        <rFont val="Arial Narrow"/>
        <family val="2"/>
      </rPr>
      <t xml:space="preserve">, colocar: </t>
    </r>
  </si>
  <si>
    <t>Prémio de risco de mercado = (Rm*-Rf) ou pº</t>
  </si>
  <si>
    <t>Um valor para o prémio de risco (pº) adequado ao projecto</t>
  </si>
  <si>
    <t>Beta U de empresas de referência</t>
  </si>
  <si>
    <t>Beta = 100% se não conhcer ou não utilizar empresa de referência</t>
  </si>
  <si>
    <t>Taxa de crescimento dos cash flows na perpetuidade</t>
  </si>
  <si>
    <t xml:space="preserve">Na maioria dos projetos considerar 0% e utilizar Não a perpetuidade mas sim o valor residual o valor do Ativo Fixo não Amortizado e o Valor Residual do F Maneio no último ano. VER  Folha Avaliação em que existem as 2 Hipóteses. </t>
  </si>
  <si>
    <t>* Rendimento esperado de mercado (entenda-se mercado acionista de referência)</t>
  </si>
  <si>
    <t>Métodos de avaliação considerados:</t>
  </si>
  <si>
    <t>Free Cash Flow to Firm</t>
  </si>
  <si>
    <r>
      <t>Em linhas gerais, o método dos fluxos de caixa descontados consiste em estimar-se os fluxos de caixa futuros da empresa e trazê-los a valor presente por uma determinada taxa de desconto (WACC). Por outras palavras - o</t>
    </r>
    <r>
      <rPr>
        <b/>
        <sz val="8"/>
        <color indexed="12"/>
        <rFont val="Arial Narrow"/>
        <family val="2"/>
      </rPr>
      <t xml:space="preserve"> valor de uma empresa </t>
    </r>
    <r>
      <rPr>
        <sz val="8"/>
        <rFont val="Arial Narrow"/>
        <family val="2"/>
      </rPr>
      <t xml:space="preserve">= Valor presente (atual) dos fluxos FCFF (fluxo de caixa líquido para a firma, do inglês Free Cash Flow to Firm). FCFF = CFL = EBITx(1-t)+Amortiz -Investimento (Capital Fixo - Fundo de Maneio Necessário). 
</t>
    </r>
    <r>
      <rPr>
        <b/>
        <sz val="8"/>
        <color indexed="12"/>
        <rFont val="Arial Narrow"/>
        <family val="2"/>
      </rPr>
      <t>Na ótica do Investidor o Valor</t>
    </r>
    <r>
      <rPr>
        <sz val="8"/>
        <rFont val="Arial Narrow"/>
        <family val="2"/>
      </rPr>
      <t xml:space="preserve"> = </t>
    </r>
    <r>
      <rPr>
        <sz val="8"/>
        <color indexed="12"/>
        <rFont val="Arial Narrow"/>
        <family val="2"/>
      </rPr>
      <t xml:space="preserve">Valor da Empresa </t>
    </r>
    <r>
      <rPr>
        <sz val="8"/>
        <rFont val="Arial Narrow"/>
        <family val="2"/>
      </rPr>
      <t xml:space="preserve">- Dívida Financeira Líquida de Ativos Financeiros.
</t>
    </r>
    <r>
      <rPr>
        <b/>
        <u/>
        <sz val="8"/>
        <rFont val="Arial Narrow"/>
        <family val="2"/>
      </rPr>
      <t>AVALIAÇÃO DO PROJETO:</t>
    </r>
    <r>
      <rPr>
        <b/>
        <sz val="8"/>
        <rFont val="Arial Narrow"/>
        <family val="2"/>
      </rPr>
      <t xml:space="preserve">  </t>
    </r>
    <r>
      <rPr>
        <b/>
        <sz val="8"/>
        <color indexed="12"/>
        <rFont val="Arial Narrow"/>
        <family val="2"/>
      </rPr>
      <t xml:space="preserve"> FCFF = CFL = EBITx(1-t)+Amortiz -Investimento (Capital Fixo - Fundo de Maneio Necessário) + valor residual investim (ano n)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1.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do projeto ou pré-financiamento em que se ignora a forma de financiamento o que é = 100% Cap Próprio</t>
    </r>
    <r>
      <rPr>
        <sz val="8"/>
        <color indexed="12"/>
        <rFont val="Arial Narrow"/>
        <family val="2"/>
      </rPr>
      <t>)</t>
    </r>
    <r>
      <rPr>
        <sz val="8"/>
        <rFont val="Arial Narrow"/>
        <family val="2"/>
      </rPr>
      <t xml:space="preserve"> a tx de utilização </t>
    </r>
    <r>
      <rPr>
        <b/>
        <sz val="8"/>
        <color indexed="12"/>
        <rFont val="Arial Narrow"/>
        <family val="2"/>
      </rPr>
      <t xml:space="preserve">R = Rf + Bu*(Rm - Rf). 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2.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pós-financiamento</t>
    </r>
    <r>
      <rPr>
        <sz val="8"/>
        <rFont val="Arial Narrow"/>
        <family val="2"/>
      </rPr>
      <t xml:space="preserve">, considerando os </t>
    </r>
    <r>
      <rPr>
        <b/>
        <i/>
        <sz val="8"/>
        <rFont val="Arial Narrow"/>
        <family val="2"/>
      </rPr>
      <t>efeitos do capital alheio refletidos na taxa de utilização</t>
    </r>
    <r>
      <rPr>
        <sz val="8"/>
        <rFont val="Arial Narrow"/>
        <family val="2"/>
      </rPr>
      <t>,
    utiliza-se o</t>
    </r>
    <r>
      <rPr>
        <b/>
        <sz val="8"/>
        <color indexed="12"/>
        <rFont val="Arial Narrow"/>
        <family val="2"/>
      </rPr>
      <t xml:space="preserve"> wacc (cmpcp) = Rcp*CP /(CP+CA)+ Rca*(1-t)*CA/ (CP+CA)</t>
    </r>
    <r>
      <rPr>
        <sz val="8"/>
        <rFont val="Arial Narrow"/>
        <family val="2"/>
      </rPr>
      <t xml:space="preserve"> em que Rcp = Rf + Bp*(Rm-Rf).  </t>
    </r>
    <r>
      <rPr>
        <sz val="8"/>
        <color indexed="12"/>
        <rFont val="Arial Narrow"/>
        <family val="2"/>
      </rPr>
      <t>Bp = Bu*(1+(1-t)*(CA/CP)) com CA e CP do projeto</t>
    </r>
  </si>
  <si>
    <r>
      <t xml:space="preserve">3. </t>
    </r>
    <r>
      <rPr>
        <b/>
        <sz val="8"/>
        <color indexed="12"/>
        <rFont val="Arial Narrow"/>
        <family val="2"/>
      </rPr>
      <t>Na análise na  Ótica do Investidor (Free Cash Flow to Equity)</t>
    </r>
  </si>
  <si>
    <r>
      <t xml:space="preserve">    No método de avaliação pelo desconto de fluxos de caixa líquido do acionista (FCFE – do inglês Free Cashflow to Equity), o objetivo é avaliar directamente o património
    líquido da empresa.  </t>
    </r>
    <r>
      <rPr>
        <b/>
        <sz val="8"/>
        <color indexed="12"/>
        <rFont val="Arial Narrow"/>
        <family val="2"/>
      </rPr>
      <t xml:space="preserve"> 
    Na avaliação do projeto na ótica do Investidor ou do Capital Próprio</t>
    </r>
    <r>
      <rPr>
        <sz val="8"/>
        <rFont val="Arial Narrow"/>
        <family val="2"/>
      </rPr>
      <t xml:space="preserve">: 
    FCFEt = Result. Líquidot + Amortiz t - Investimento t (Cap Fixo e FMN) + Financiamento alheio t (CA) - Reembolsos Financiamento t. 
    em que a </t>
    </r>
    <r>
      <rPr>
        <b/>
        <sz val="8"/>
        <color indexed="12"/>
        <rFont val="Arial Narrow"/>
        <family val="2"/>
      </rPr>
      <t xml:space="preserve"> taxa de atualização  R = Rf + Bu*(Rm - Rf)</t>
    </r>
  </si>
  <si>
    <t>s</t>
  </si>
  <si>
    <t>Vendas + Prestações de Serviços</t>
  </si>
  <si>
    <t>Taxa de variação dos preços</t>
  </si>
  <si>
    <t>VENDAS - MERCADO NACIONAL</t>
  </si>
  <si>
    <t>Duquesa</t>
  </si>
  <si>
    <t>Quantidades vendidas</t>
  </si>
  <si>
    <t>Taxa de crescimento das unidades vendidas</t>
  </si>
  <si>
    <t xml:space="preserve">Preço Unitário </t>
  </si>
  <si>
    <t>Duquesa Aroma A</t>
  </si>
  <si>
    <t>Duquesa Aroma B</t>
  </si>
  <si>
    <t>Aperitivo</t>
  </si>
  <si>
    <t xml:space="preserve">TOTAL </t>
  </si>
  <si>
    <t>VENDAS - EXPORTAÇÃO</t>
  </si>
  <si>
    <t>Produto A*</t>
  </si>
  <si>
    <t>Produto B *</t>
  </si>
  <si>
    <t>* Produtos / Familias de Produtos / Mercadorias</t>
  </si>
  <si>
    <t>NOTA: Caso não tenha conhecimento das quantidades, colocar o valor das vendas na linha das "Quantidades Vendidas" e o valor 1 na linha do "Preço Unitário".</t>
  </si>
  <si>
    <t>PRESTAÇÕES DE SERVIÇOS - MERCADO NACIONAL</t>
  </si>
  <si>
    <t>Serviço A</t>
  </si>
  <si>
    <t xml:space="preserve">Taxa de crescimento </t>
  </si>
  <si>
    <t>Serviço B</t>
  </si>
  <si>
    <t>Serviço C</t>
  </si>
  <si>
    <t>Serviço D</t>
  </si>
  <si>
    <t>PRESTAÇÕES DE SERVIÇOS - EXPORTAÇÕES</t>
  </si>
  <si>
    <t>TOTAL VENDAS - MERCADO NACIONAL</t>
  </si>
  <si>
    <t>TOTAL VENDAS - EXPORTAÇÕES</t>
  </si>
  <si>
    <t>TOTAL VENDAS</t>
  </si>
  <si>
    <t>IVA VENDAS</t>
  </si>
  <si>
    <t>TOTAL PRESTAÇÕES DE SERVIÇOS-MERCADO NACIONAL</t>
  </si>
  <si>
    <t>TOTAL PRESTAÇÕES DE SERVIÇOS - EXPORTAÇÕES</t>
  </si>
  <si>
    <t>TOTAL PRESTAÇÕES SERVIÇOS</t>
  </si>
  <si>
    <t>IVA PRESTAÇÕES DE SERVIÇOS</t>
  </si>
  <si>
    <t>TOTAL VOLUME DE NEGÓCIOS</t>
  </si>
  <si>
    <t>IVA</t>
  </si>
  <si>
    <t>TOTAL VOLUME DE NEGÓCIOS + IVA</t>
  </si>
  <si>
    <t>Perdas por imparidade</t>
  </si>
  <si>
    <t>Reflete-se na Dívida de Clientes, no Fundo de Maneio, na Dem de resultados e no Balanço.  ACONSELHA-SE NÃO UTILIZAR =&gt; meter 0%</t>
  </si>
  <si>
    <t>EMPRESA:</t>
  </si>
  <si>
    <t>CMVMC - Custo das Mercadorias Vendidas e Matérias Consumidas</t>
  </si>
  <si>
    <t>CMVMC</t>
  </si>
  <si>
    <t>Margem Bruta</t>
  </si>
  <si>
    <t>MERCADO NACIONAL</t>
  </si>
  <si>
    <t>MERCADO EXTERNO</t>
  </si>
  <si>
    <t>TOTAL CMVMC</t>
  </si>
  <si>
    <t>TOTAL CMVMC + IVA</t>
  </si>
  <si>
    <t>NOTA: Mapa construído caso a caso:</t>
  </si>
  <si>
    <t>a) Introduzir a Margem Bruta directamente, quando conhecida e passível de ser utilizada, ou efectuar a respectiva fórmula de cálculo;</t>
  </si>
  <si>
    <t>b) Efectuar os cálculos auxiliares considerados necessários para alcançar a o nível de matéria-prima por unidade produzida e introduzir manualmente os valores;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</si>
  <si>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</si>
  <si>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</si>
  <si>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Gastos com o Pessoal</t>
  </si>
  <si>
    <t>Nº Meses</t>
  </si>
  <si>
    <t>Incremento Anual (Vencimentos + Sub. Almoço)</t>
  </si>
  <si>
    <t>Quadro de Pessoal (n.º pessoas)</t>
  </si>
  <si>
    <t>Administração / Direcção</t>
  </si>
  <si>
    <t>Administrativa Financeira</t>
  </si>
  <si>
    <t>Comercial / Marketing</t>
  </si>
  <si>
    <t>Produção / Operacional</t>
  </si>
  <si>
    <t>Qualidade</t>
  </si>
  <si>
    <t>Manutenção</t>
  </si>
  <si>
    <t>Aprovisionamento</t>
  </si>
  <si>
    <t>Investigação &amp; Desenvolvimento</t>
  </si>
  <si>
    <t>Outros</t>
  </si>
  <si>
    <t>TOTAL</t>
  </si>
  <si>
    <t>Quadro de Pessoal (n.º meses de trabalho)</t>
  </si>
  <si>
    <t>Remuneração base mensal</t>
  </si>
  <si>
    <t>Remuneração base anual - TOTAL Colaboradores</t>
  </si>
  <si>
    <t>Outros Gastos</t>
  </si>
  <si>
    <t>Segurança Social</t>
  </si>
  <si>
    <t>Órgãos Sociais</t>
  </si>
  <si>
    <t>Pessoal</t>
  </si>
  <si>
    <t>Seguros Acidentes de Trabalho</t>
  </si>
  <si>
    <t>Subsídio Alimentação (média menssal)</t>
  </si>
  <si>
    <t>N.º meses subsidio alimentação (meses)</t>
  </si>
  <si>
    <t>Comissões &amp; Prémios</t>
  </si>
  <si>
    <t xml:space="preserve">Formação </t>
  </si>
  <si>
    <t>Outros custos com pessoal</t>
  </si>
  <si>
    <t>TOTAL OUTROS GASTOS</t>
  </si>
  <si>
    <t>TOTAL GASTOS COM PESSOAL</t>
  </si>
  <si>
    <t>QUADRO RESUMO</t>
  </si>
  <si>
    <t>Remunerações</t>
  </si>
  <si>
    <t>Encargos sobre remunerações</t>
  </si>
  <si>
    <t>Seguros Acidentes de Trabalho e doenças profissionais</t>
  </si>
  <si>
    <t>Gastos de acção social</t>
  </si>
  <si>
    <t>Outros gastos com pessoal</t>
  </si>
  <si>
    <t>Retenções Colaboradores</t>
  </si>
  <si>
    <t>Retenção SS Colaborador</t>
  </si>
  <si>
    <t>Gerência / Administração</t>
  </si>
  <si>
    <t>Outro Pessoal</t>
  </si>
  <si>
    <t>Retenção IRS Colaborador</t>
  </si>
  <si>
    <t>TOTAL Retenções</t>
  </si>
  <si>
    <t>Investimento em Fundo Maneio Necessário</t>
  </si>
  <si>
    <t>Necessidades Fundo Maneio</t>
  </si>
  <si>
    <t>Reserva Segurança Tesouraria</t>
  </si>
  <si>
    <t>Clientes</t>
  </si>
  <si>
    <t>Inventários</t>
  </si>
  <si>
    <t>Estado</t>
  </si>
  <si>
    <t>*</t>
  </si>
  <si>
    <t>Recursos Fundo Maneio</t>
  </si>
  <si>
    <t>Fornecedores</t>
  </si>
  <si>
    <t>Fundo Maneio Necessário</t>
  </si>
  <si>
    <t>Investimento em Fundo de Maneio</t>
  </si>
  <si>
    <t>* A considerar caso seja necessário</t>
  </si>
  <si>
    <t>ESTADO</t>
  </si>
  <si>
    <t>SS</t>
  </si>
  <si>
    <t>IRS</t>
  </si>
  <si>
    <t>FSE - Fornecimentos e Serviços Externos</t>
  </si>
  <si>
    <t>Taxa de crescimento</t>
  </si>
  <si>
    <t>Tx IVA</t>
  </si>
  <si>
    <t>CF</t>
  </si>
  <si>
    <t>CV</t>
  </si>
  <si>
    <t>Valor Mensal</t>
  </si>
  <si>
    <t>Subcontratos</t>
  </si>
  <si>
    <t>Serviços especializados</t>
  </si>
  <si>
    <t>Trabalhos especializados</t>
  </si>
  <si>
    <t>Publicidade e propaganda</t>
  </si>
  <si>
    <t>Vigilância e segurança</t>
  </si>
  <si>
    <t>Honorários</t>
  </si>
  <si>
    <t>Comissões</t>
  </si>
  <si>
    <t>Conservação e reparação</t>
  </si>
  <si>
    <t>Materiais</t>
  </si>
  <si>
    <t>Ferramentas e utensilios de desgaste rápido</t>
  </si>
  <si>
    <t>Livros e documentação técnica</t>
  </si>
  <si>
    <t>Material de escritório</t>
  </si>
  <si>
    <t>Artigos para oferta</t>
  </si>
  <si>
    <t>Energia e fluidos</t>
  </si>
  <si>
    <t>Electricidade</t>
  </si>
  <si>
    <t>Combustíveis</t>
  </si>
  <si>
    <t>Água</t>
  </si>
  <si>
    <t>Deslocações, estadas e transportes</t>
  </si>
  <si>
    <t>Deslocações e Estadas</t>
  </si>
  <si>
    <t>Transportes de pessoal</t>
  </si>
  <si>
    <t>Transportes de mercadorias</t>
  </si>
  <si>
    <t>Serviços diversos</t>
  </si>
  <si>
    <t>Rendas e alugueres</t>
  </si>
  <si>
    <t>Comunicação</t>
  </si>
  <si>
    <t>Seguros</t>
  </si>
  <si>
    <t>Royalties</t>
  </si>
  <si>
    <t>Contencioso e notariado</t>
  </si>
  <si>
    <t>Despesas de representação</t>
  </si>
  <si>
    <t>Limpeza, higiene e conforto</t>
  </si>
  <si>
    <t>Outros serviços</t>
  </si>
  <si>
    <t xml:space="preserve">TOTAL FSE  </t>
  </si>
  <si>
    <t>FSE - Custos Fixos</t>
  </si>
  <si>
    <t>FSE - Custos Variáveis</t>
  </si>
  <si>
    <t>TOTAL FSE</t>
  </si>
  <si>
    <t>FSE + IVA</t>
  </si>
  <si>
    <t>Investimento</t>
  </si>
  <si>
    <t>Investimento por ano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</si>
  <si>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</si>
  <si>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</si>
  <si>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</si>
  <si>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</si>
  <si>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</si>
  <si>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</si>
  <si>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Terrenos e Recursos Naturais</t>
  </si>
  <si>
    <t>Edificios e Outras Construções</t>
  </si>
  <si>
    <t>Equipamento  Básico</t>
  </si>
  <si>
    <t>Equipamento de Transporte</t>
  </si>
  <si>
    <t>Equipamento Administrativo</t>
  </si>
  <si>
    <t>Equipamentos biológicos</t>
  </si>
  <si>
    <t>Outros activos fixos tangiveis</t>
  </si>
  <si>
    <t>Total Activos Fixos Tangíveis</t>
  </si>
  <si>
    <t>Activos Intangíveis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</si>
  <si>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</si>
  <si>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</si>
  <si>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</si>
  <si>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</si>
  <si>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</si>
  <si>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Total Activos Intangíveis</t>
  </si>
  <si>
    <t>Total Investimento</t>
  </si>
  <si>
    <t xml:space="preserve">Valores Acumulados </t>
  </si>
  <si>
    <t xml:space="preserve">   Terrenos e Recursos Naturais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</si>
  <si>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</si>
  <si>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</si>
  <si>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</si>
  <si>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</si>
  <si>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</si>
  <si>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activos fixos tangiveis</t>
  </si>
  <si>
    <t xml:space="preserve">Total </t>
  </si>
  <si>
    <t>Taxas de Depreciações e amortizações</t>
  </si>
  <si>
    <t>* nota: se a taxa a utilizar for 33,33%, colocar mais uma casa decimal, considerando 33,333%</t>
  </si>
  <si>
    <t>N.º meses actividade primeiro ano</t>
  </si>
  <si>
    <t>Depreciações e amortizações</t>
  </si>
  <si>
    <t>Equipamento básico</t>
  </si>
  <si>
    <t>Equipamento de transporte</t>
  </si>
  <si>
    <t>Equipamento administrativo</t>
  </si>
  <si>
    <t>Equipamento biológicos</t>
  </si>
  <si>
    <t>Total Depreciações &amp; Amortizações</t>
  </si>
  <si>
    <t>Depreciações &amp; Amortizações acumuladas</t>
  </si>
  <si>
    <t>Valores Balanço</t>
  </si>
  <si>
    <t>Financiamento</t>
  </si>
  <si>
    <t xml:space="preserve">Investimento </t>
  </si>
  <si>
    <t>Margem de segurança</t>
  </si>
  <si>
    <t>Necessidades de financiamento</t>
  </si>
  <si>
    <t>Fontes de Financiamento</t>
  </si>
  <si>
    <t>Meios Libertos</t>
  </si>
  <si>
    <t xml:space="preserve">Capital </t>
  </si>
  <si>
    <t>Outros instrumentos de capital (+/-)</t>
  </si>
  <si>
    <t>Empréstimos de Sócios (+) ou  Reembolsos a sócios (-)</t>
  </si>
  <si>
    <t>Financiamento bancário e outras Inst. Crédito</t>
  </si>
  <si>
    <t>Subsidios (+/-)</t>
  </si>
  <si>
    <t>N.º de anos reembolso</t>
  </si>
  <si>
    <t>Taxa de juro associada</t>
  </si>
  <si>
    <t>N.º anos de carência</t>
  </si>
  <si>
    <t>Capital em dívida (início período)</t>
  </si>
  <si>
    <t>Taxa de Juro</t>
  </si>
  <si>
    <t>Juro Anual</t>
  </si>
  <si>
    <t>Reembolso Anual</t>
  </si>
  <si>
    <t>Imposto Selo (0,4%)</t>
  </si>
  <si>
    <t>Serviço da dívida</t>
  </si>
  <si>
    <t>Valor em dívida</t>
  </si>
  <si>
    <t>Valor em divida</t>
  </si>
  <si>
    <t>Capital em dívida</t>
  </si>
  <si>
    <t>Juros pagos com Imposto Selo incluído</t>
  </si>
  <si>
    <t>Reembolso</t>
  </si>
  <si>
    <t>Ponto Crítico Operacional Previsional</t>
  </si>
  <si>
    <t>FSE Variáveis</t>
  </si>
  <si>
    <t>Margem Bruta de Contribuição</t>
  </si>
  <si>
    <t>Ponto Crítico</t>
  </si>
  <si>
    <t>Demonstração de Resultados Previsional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</si>
  <si>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</si>
  <si>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</si>
  <si>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</si>
  <si>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</si>
  <si>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</si>
  <si>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</si>
  <si>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</si>
  <si>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</si>
  <si>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</si>
  <si>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</si>
  <si>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</si>
  <si>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</si>
  <si>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</si>
  <si>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</si>
  <si>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depreciações, gastos financiamento e impostos)</t>
  </si>
  <si>
    <t>Gastos/reversões de depreciação e amortização</t>
  </si>
  <si>
    <t>Imparidade de activos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</si>
  <si>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</si>
  <si>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</si>
  <si>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</si>
  <si>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</si>
  <si>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</si>
  <si>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</si>
  <si>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Mapa de Cash Flows Operacionais</t>
  </si>
  <si>
    <t>Meios Libertos do Projecto</t>
  </si>
  <si>
    <t>Resultados Operacionais (EBIT) x (1-IRC)</t>
  </si>
  <si>
    <t>Provisões do exercício</t>
  </si>
  <si>
    <t>Investim./Desinvest. em Fundo Maneio</t>
  </si>
  <si>
    <t xml:space="preserve">   Fundo de Maneio</t>
  </si>
  <si>
    <t>CASH FLOW de Exploração</t>
  </si>
  <si>
    <t>Investim./Desinvest. em Capital Fixo</t>
  </si>
  <si>
    <t xml:space="preserve">   Capital Fixo</t>
  </si>
  <si>
    <t>Free cash-flow</t>
  </si>
  <si>
    <t>CASH FLOW acumulado</t>
  </si>
  <si>
    <t>Plano de Financiamento</t>
  </si>
  <si>
    <t>ORIGENS DE FUNDOS</t>
  </si>
  <si>
    <t>Meios Libertos Brutos</t>
  </si>
  <si>
    <t>Capital Social (entrada de fundos)</t>
  </si>
  <si>
    <t>Outros instrumentos de capital</t>
  </si>
  <si>
    <t>Empréstimos Obtidos</t>
  </si>
  <si>
    <t>Desinvest. em Capital Fixo</t>
  </si>
  <si>
    <t>Desinvest. em FMN</t>
  </si>
  <si>
    <t>Proveitos Financeiros</t>
  </si>
  <si>
    <t>Total das Origens</t>
  </si>
  <si>
    <t>APLICAÇÕES DE FUNDOS</t>
  </si>
  <si>
    <t>Inv. Capital Fixo</t>
  </si>
  <si>
    <t>Inv Fundo de Maneio</t>
  </si>
  <si>
    <t xml:space="preserve">Imposto sobre os Lucros </t>
  </si>
  <si>
    <t xml:space="preserve">Pagamento de Dividendos </t>
  </si>
  <si>
    <t>Reembolso de Empréstimos</t>
  </si>
  <si>
    <t>Encargos Financeiros</t>
  </si>
  <si>
    <t>Total das Aplicações</t>
  </si>
  <si>
    <t>Saldo de Tesouraria Anual</t>
  </si>
  <si>
    <t>Saldo de Tesouraria Acumulado</t>
  </si>
  <si>
    <t>Aplicações / Empréstimo Curto Prazo</t>
  </si>
  <si>
    <t>Soma Controlo</t>
  </si>
  <si>
    <t>Balanço Previsional</t>
  </si>
  <si>
    <t>ACTIVO</t>
  </si>
  <si>
    <t>Activo Não Corrente</t>
  </si>
  <si>
    <t>Investimentos financeiros</t>
  </si>
  <si>
    <t>Activo corrente</t>
  </si>
  <si>
    <t>Estado e Outros Entes Públicos</t>
  </si>
  <si>
    <t>Accionistas/sócios</t>
  </si>
  <si>
    <t>Outras contas a receber</t>
  </si>
  <si>
    <t>Diferimentos</t>
  </si>
  <si>
    <t>Caixa e depósitos bancários</t>
  </si>
  <si>
    <t>TOTAL ACTIVO</t>
  </si>
  <si>
    <t>CAPITAL PRÓPRIO</t>
  </si>
  <si>
    <t>Capital realizado</t>
  </si>
  <si>
    <t>Acções (quotas próprias)</t>
  </si>
  <si>
    <t>Outros instrumentos de capital próprio</t>
  </si>
  <si>
    <t>Reservas</t>
  </si>
  <si>
    <t>Excedentes de revalorização</t>
  </si>
  <si>
    <t>Outras variações no capital próprio</t>
  </si>
  <si>
    <t>Resultado líquido do período</t>
  </si>
  <si>
    <t>TOTAL DO CAPITAL PRÓPRIO</t>
  </si>
  <si>
    <t>PASSIVO</t>
  </si>
  <si>
    <t>Passivo não corrente</t>
  </si>
  <si>
    <t>Provisões</t>
  </si>
  <si>
    <t>Financiamentos obtidos</t>
  </si>
  <si>
    <t>Outras Contas a pagar</t>
  </si>
  <si>
    <t>Passivo corrente</t>
  </si>
  <si>
    <t>Financiamentos Obtidos</t>
  </si>
  <si>
    <t>Outras contas a pagar</t>
  </si>
  <si>
    <t>TOTAL PASSIVO</t>
  </si>
  <si>
    <t>TOTAL PASSIVO + CAPITAIS PRÓPRIOS</t>
  </si>
  <si>
    <t>Principais Indicadores</t>
  </si>
  <si>
    <t>INDICADORES ECONÓMICOS</t>
  </si>
  <si>
    <t>Taxa de Crescimento do Negócio</t>
  </si>
  <si>
    <t>Rentabilidade Líquida sobre as vendas</t>
  </si>
  <si>
    <t>INDICADORES ECONÓMICOS - FINANCEIROS</t>
  </si>
  <si>
    <t>Return On Investment (ROI)</t>
  </si>
  <si>
    <t>Rendibilidade do Activo</t>
  </si>
  <si>
    <t>Rotação do Activo</t>
  </si>
  <si>
    <t>Rendibilidade dos Capitais Próprios (ROE)</t>
  </si>
  <si>
    <t>INDICADORES FINANCEIROS</t>
  </si>
  <si>
    <t>Autonomia Financeira</t>
  </si>
  <si>
    <t>Solvabilidade Total</t>
  </si>
  <si>
    <t>Cobertura dos encargos financeiros</t>
  </si>
  <si>
    <t>INDICADORES DE LIQUIDEZ</t>
  </si>
  <si>
    <t>Liquidez Corrente</t>
  </si>
  <si>
    <t>Liquidez Reduzida</t>
  </si>
  <si>
    <t>INDICADORES DE RISCO NEGÓCIO</t>
  </si>
  <si>
    <t>Grau de Alavanca Operacional</t>
  </si>
  <si>
    <t>Grau de Alavanca Financeira</t>
  </si>
  <si>
    <t>Avaliação do Projecto / Empresa</t>
  </si>
  <si>
    <r>
      <t>Na perspectiva do Projecto Pré-Financiamento</t>
    </r>
    <r>
      <rPr>
        <b/>
        <sz val="8"/>
        <color indexed="12"/>
        <rFont val="Arial Narrow"/>
        <family val="2"/>
      </rPr>
      <t xml:space="preserve"> = 100% CP</t>
    </r>
  </si>
  <si>
    <t>CF Acum</t>
  </si>
  <si>
    <t xml:space="preserve"> ' + 1. ou + 2. Por defeito    = 2.</t>
  </si>
  <si>
    <t>Ano 0</t>
  </si>
  <si>
    <t>Ano 1</t>
  </si>
  <si>
    <t>Ano 2</t>
  </si>
  <si>
    <r>
      <t xml:space="preserve">Taxa de atualização </t>
    </r>
    <r>
      <rPr>
        <sz val="8"/>
        <color indexed="12"/>
        <rFont val="Arial Narrow"/>
        <family val="2"/>
      </rPr>
      <t>Ru = RF+Bu*(Rm-Rf)</t>
    </r>
  </si>
  <si>
    <t>Ano 3</t>
  </si>
  <si>
    <t>Factor de actualização</t>
  </si>
  <si>
    <t>-</t>
  </si>
  <si>
    <t>Ano 4</t>
  </si>
  <si>
    <t>Ano 5</t>
  </si>
  <si>
    <t>Fluxos actualizados</t>
  </si>
  <si>
    <t>Fuxos atualizados acumulados</t>
  </si>
  <si>
    <t>Valor Residual ano N</t>
  </si>
  <si>
    <t>Valor Actual Líquido (VAL)</t>
  </si>
  <si>
    <r>
      <rPr>
        <b/>
        <sz val="9"/>
        <color indexed="10"/>
        <rFont val="Arial Narrow"/>
        <family val="2"/>
      </rPr>
      <t>1.</t>
    </r>
    <r>
      <rPr>
        <sz val="8"/>
        <color indexed="12"/>
        <rFont val="Arial Narrow"/>
        <family val="2"/>
      </rPr>
      <t xml:space="preserve"> PERPETUIDADE a crescer à taxa g</t>
    </r>
  </si>
  <si>
    <t>ou</t>
  </si>
  <si>
    <t>Taxa Interna de Rentibilidade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</si>
  <si>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(h12*(1+I11))</t>
    </r>
  </si>
  <si>
    <t>Pay Back period (arred ano inteiro)</t>
  </si>
  <si>
    <t>Anos</t>
  </si>
  <si>
    <t>Na perspectiva do Projecto Pós-Financiamento</t>
  </si>
  <si>
    <t>WACC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</si>
  <si>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(h32*(1+I31))</t>
    </r>
  </si>
  <si>
    <t>Pay Back period</t>
  </si>
  <si>
    <t>Na perspectiva do Investidor</t>
  </si>
  <si>
    <t>Free Cash Flow do Equity</t>
  </si>
  <si>
    <t>Taxa de juro de activos sem risco</t>
  </si>
  <si>
    <t>Prémio de risco de mercado</t>
  </si>
  <si>
    <t>Taxa de Actualização R = Rf + Bu*(Rm-Rf)</t>
  </si>
  <si>
    <t>Factor actualização</t>
  </si>
  <si>
    <t>Fluxos Actualizados</t>
  </si>
  <si>
    <t>Ano 6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</si>
  <si>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Cap Proprio N =</t>
    </r>
    <r>
      <rPr>
        <sz val="6"/>
        <color indexed="12"/>
        <rFont val="Arial Narrow"/>
        <family val="2"/>
      </rPr>
      <t>(Ativo não depreciado + F.Maneio -Passivo) /(h54*(1+I53))</t>
    </r>
  </si>
  <si>
    <t>Cálculo do WACC</t>
  </si>
  <si>
    <t>Passivo Remunerado</t>
  </si>
  <si>
    <t>Capital Próprio</t>
  </si>
  <si>
    <t>% Passivo remunerado</t>
  </si>
  <si>
    <t>% Capital Próprio</t>
  </si>
  <si>
    <r>
      <rPr>
        <sz val="8"/>
        <color indexed="12"/>
        <rFont val="Arial Narrow"/>
        <family val="2"/>
      </rPr>
      <t xml:space="preserve">Beta p = 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u * (1+(1-t)*CA/CP)</t>
    </r>
  </si>
  <si>
    <t>Custo</t>
  </si>
  <si>
    <t>Custo Financiamento</t>
  </si>
  <si>
    <t>Custo financiamento com efeito fiscal</t>
  </si>
  <si>
    <r>
      <t xml:space="preserve">Custo Capital </t>
    </r>
    <r>
      <rPr>
        <sz val="8"/>
        <color indexed="12"/>
        <rFont val="Arial Narrow"/>
        <family val="2"/>
      </rPr>
      <t>Rcp = Rf+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p*(Rm-Rf</t>
    </r>
    <r>
      <rPr>
        <sz val="8"/>
        <rFont val="Arial Narrow"/>
        <family val="2"/>
      </rPr>
      <t>)</t>
    </r>
  </si>
  <si>
    <t>Custo ponderado</t>
  </si>
  <si>
    <t>Cálculos Auxiliares</t>
  </si>
  <si>
    <t>Consumo de Unidades de Matérias-Primas por Unidade de Produto Acabado</t>
  </si>
  <si>
    <t>Matérias Primas e Subsidiárias (descriminação)</t>
  </si>
  <si>
    <t>Unidade de Medida</t>
  </si>
  <si>
    <t>Consumo/25L</t>
  </si>
  <si>
    <t>Malte</t>
  </si>
  <si>
    <t>kg</t>
  </si>
  <si>
    <t>Lúpulo</t>
  </si>
  <si>
    <t>Levedura</t>
  </si>
  <si>
    <t>Açúcar</t>
  </si>
  <si>
    <t>L</t>
  </si>
  <si>
    <t>Aroma A</t>
  </si>
  <si>
    <t>g</t>
  </si>
  <si>
    <t>Aroma B</t>
  </si>
  <si>
    <t>Rótulo</t>
  </si>
  <si>
    <t>Garrafas</t>
  </si>
  <si>
    <t>unid.</t>
  </si>
  <si>
    <t>Caricas/Tampas</t>
  </si>
  <si>
    <t>Produção (em Quantidades)</t>
  </si>
  <si>
    <t>Unidades físicas</t>
  </si>
  <si>
    <t>Produtos</t>
  </si>
  <si>
    <t>Cerveja Duquesa</t>
  </si>
  <si>
    <t>Cerveja Duquesa com Aroma A</t>
  </si>
  <si>
    <t>Cerveja Duquesa com Aroma B</t>
  </si>
  <si>
    <t>Consumo de Matérias Primas 1*</t>
  </si>
  <si>
    <t>Matérias Primas e Subsidiárias</t>
  </si>
  <si>
    <t>Levedura de cerveja</t>
  </si>
  <si>
    <t>Papel</t>
  </si>
  <si>
    <t>Caricas</t>
  </si>
  <si>
    <t>Preço das Matérias Primas e Subsidiárias</t>
  </si>
  <si>
    <t xml:space="preserve">Matérias Primas e Subsidiárias </t>
  </si>
  <si>
    <t>Papel (tonelada)</t>
  </si>
  <si>
    <t>Valor do consumo 2*</t>
  </si>
  <si>
    <t>Custo de uma cerveja sem aroma</t>
  </si>
  <si>
    <t>1* obtido da  multiplicação da produção pelo consumo de matéria prima por unidade de produto acabado.</t>
  </si>
  <si>
    <t>Custo de uma cerveja Aroma A</t>
  </si>
  <si>
    <t>2* obtido da multiplicação do consumo das matérias-primas pelo preço.</t>
  </si>
  <si>
    <t>Custo de uma cerveja Aroma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</si>
</sst>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&quot;$&quot;#,##0.00_);[Red]\(&quot;$&quot;#,##0.00\)"/>
    <numFmt numFmtId="165" formatCode="[$-816]mmm/yy;@"/>
    <numFmt numFmtId="166" formatCode="0_ ;[Red]\-0\ "/>
    <numFmt numFmtId="167" formatCode="0.0%"/>
    <numFmt numFmtId="168" formatCode="#,##0_ ;[Red]\-#,##0\ "/>
    <numFmt numFmtId="169" formatCode="0.000"/>
    <numFmt numFmtId="170" formatCode="#,##0.0"/>
    <numFmt numFmtId="171" formatCode="#,##0.00_ ;[Red]\-#,##0.00\ "/>
    <numFmt numFmtId="172" formatCode="0.0"/>
    <numFmt numFmtId="173" formatCode="#,##0_ ;\-#,##0\ "/>
    <numFmt numFmtId="174" formatCode="0.00000"/>
    <numFmt numFmtId="175" formatCode="0.000%"/>
    <numFmt numFmtId="176" formatCode="0.0000"/>
    <numFmt numFmtId="177" formatCode="#,##0.000"/>
    <numFmt numFmtId="178" formatCode="#,##0.0000"/>
  </numFmts>
  <fonts count="57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u/>
      <sz val="8"/>
      <name val="Arial Narrow"/>
      <family val="2"/>
    </font>
    <font>
      <b/>
      <sz val="8"/>
      <color indexed="12"/>
      <name val="Arial Narrow"/>
      <family val="2"/>
    </font>
    <font>
      <b/>
      <i/>
      <u/>
      <sz val="8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b/>
      <sz val="9"/>
      <color indexed="10"/>
      <name val="Arial Narrow"/>
      <family val="2"/>
    </font>
    <font>
      <b/>
      <i/>
      <sz val="8"/>
      <color indexed="12"/>
      <name val="Arial Narrow"/>
      <family val="2"/>
    </font>
    <font>
      <b/>
      <sz val="10"/>
      <color indexed="12"/>
      <name val="Arial Narrow"/>
      <family val="2"/>
    </font>
    <font>
      <sz val="6"/>
      <color indexed="12"/>
      <name val="Arial Narrow"/>
      <family val="2"/>
    </font>
    <font>
      <i/>
      <u/>
      <sz val="8"/>
      <color indexed="12"/>
      <name val="Arial Narrow"/>
      <family val="2"/>
    </font>
    <font>
      <b/>
      <sz val="9"/>
      <color indexed="12"/>
      <name val="Arial Narrow"/>
      <family val="2"/>
    </font>
    <font>
      <i/>
      <sz val="11"/>
      <name val="Arial Narrow"/>
      <family val="2"/>
    </font>
    <font>
      <b/>
      <sz val="7"/>
      <color indexed="18"/>
      <name val="Arial Narrow"/>
      <family val="2"/>
    </font>
    <font>
      <sz val="8"/>
      <color rgb="FF0000CC"/>
      <name val="Arial Narrow"/>
      <family val="2"/>
    </font>
    <font>
      <b/>
      <sz val="8"/>
      <color rgb="FF002060"/>
      <name val="Arial Narrow"/>
      <family val="2"/>
    </font>
    <font>
      <sz val="8"/>
      <color rgb="FF002060"/>
      <name val="Arial Narrow"/>
      <family val="2"/>
    </font>
    <font>
      <b/>
      <sz val="8"/>
      <color rgb="FF0000CC"/>
      <name val="Arial Narrow"/>
      <family val="2"/>
    </font>
    <font>
      <sz val="8"/>
      <color rgb="FFFF0000"/>
      <name val="Arial Narrow"/>
      <family val="2"/>
    </font>
    <font>
      <sz val="40"/>
      <color theme="3"/>
      <name val="Arial Narrow"/>
      <family val="2"/>
    </font>
    <font>
      <sz val="22"/>
      <color theme="3"/>
      <name val="Arial Narrow"/>
      <family val="2"/>
    </font>
    <font>
      <sz val="10"/>
      <color rgb="FFFF0000"/>
      <name val="Arial Narrow"/>
      <family val="2"/>
    </font>
    <font>
      <b/>
      <i/>
      <sz val="22"/>
      <color theme="3"/>
      <name val="Arial Narrow"/>
      <family val="2"/>
    </font>
    <font>
      <b/>
      <i/>
      <sz val="18"/>
      <color theme="3"/>
      <name val="Arial Narrow"/>
      <family val="2"/>
    </font>
    <font>
      <b/>
      <sz val="9"/>
      <color rgb="FFFF0000"/>
      <name val="Arial Narrow"/>
      <family val="2"/>
    </font>
    <font>
      <sz val="9"/>
      <color rgb="FFFF0000"/>
      <name val="Arial Narrow"/>
      <family val="2"/>
    </font>
    <font>
      <sz val="8"/>
      <name val="Arial Narrow"/>
    </font>
    <font>
      <sz val="8"/>
      <color indexed="12"/>
      <name val="Arial Narrow"/>
    </font>
  </fonts>
  <fills count="1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2"/>
      </right>
      <top/>
      <bottom/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C0000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</cellStyleXfs>
  <cellXfs count="603">
    <xf numFmtId="0" fontId="0" fillId="0" borderId="0" xfId="0"/>
    <xf numFmtId="0" fontId="21" fillId="0" borderId="0" xfId="0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168" fontId="5" fillId="0" borderId="2" xfId="0" applyNumberFormat="1" applyFont="1" applyFill="1" applyBorder="1" applyAlignment="1" applyProtection="1">
      <protection locked="0"/>
    </xf>
    <xf numFmtId="0" fontId="6" fillId="2" borderId="3" xfId="0" applyFont="1" applyFill="1" applyBorder="1" applyAlignment="1" applyProtection="1">
      <alignment horizontal="left"/>
      <protection hidden="1"/>
    </xf>
    <xf numFmtId="0" fontId="5" fillId="0" borderId="0" xfId="0" applyFont="1" applyFill="1" applyProtection="1">
      <protection hidden="1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Fill="1" applyBorder="1" applyAlignment="1" applyProtection="1">
      <alignment horizontal="right" vertical="center"/>
      <protection locked="0"/>
    </xf>
    <xf numFmtId="0" fontId="6" fillId="0" borderId="0" xfId="0" applyFont="1" applyFill="1" applyProtection="1">
      <protection hidden="1"/>
    </xf>
    <xf numFmtId="0" fontId="25" fillId="0" borderId="0" xfId="3" applyFont="1" applyFill="1" applyBorder="1" applyProtection="1">
      <protection hidden="1"/>
    </xf>
    <xf numFmtId="0" fontId="5" fillId="0" borderId="0" xfId="3" applyFont="1" applyFill="1" applyProtection="1">
      <protection hidden="1"/>
    </xf>
    <xf numFmtId="0" fontId="1" fillId="3" borderId="0" xfId="3" applyFill="1" applyProtection="1">
      <protection hidden="1"/>
    </xf>
    <xf numFmtId="0" fontId="25" fillId="0" borderId="0" xfId="3" applyFont="1" applyFill="1" applyProtection="1">
      <protection hidden="1"/>
    </xf>
    <xf numFmtId="0" fontId="24" fillId="0" borderId="0" xfId="3" applyFont="1" applyFill="1" applyBorder="1" applyProtection="1">
      <protection hidden="1"/>
    </xf>
    <xf numFmtId="0" fontId="5" fillId="0" borderId="0" xfId="3" applyFont="1" applyFill="1" applyBorder="1" applyProtection="1">
      <protection hidden="1"/>
    </xf>
    <xf numFmtId="0" fontId="24" fillId="0" borderId="0" xfId="3" applyFont="1" applyFill="1" applyBorder="1" applyAlignment="1" applyProtection="1">
      <alignment vertical="center" wrapText="1"/>
      <protection hidden="1"/>
    </xf>
    <xf numFmtId="0" fontId="24" fillId="0" borderId="0" xfId="3" applyFont="1" applyFill="1" applyAlignment="1" applyProtection="1">
      <alignment vertical="center" wrapText="1"/>
      <protection hidden="1"/>
    </xf>
    <xf numFmtId="0" fontId="8" fillId="4" borderId="2" xfId="3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Protection="1">
      <protection hidden="1"/>
    </xf>
    <xf numFmtId="0" fontId="5" fillId="3" borderId="0" xfId="0" applyFont="1" applyFill="1" applyBorder="1" applyProtection="1">
      <protection hidden="1"/>
    </xf>
    <xf numFmtId="0" fontId="5" fillId="3" borderId="0" xfId="0" applyFont="1" applyFill="1" applyBorder="1" applyAlignment="1" applyProtection="1">
      <alignment wrapText="1"/>
      <protection hidden="1"/>
    </xf>
    <xf numFmtId="9" fontId="5" fillId="3" borderId="0" xfId="0" applyNumberFormat="1" applyFont="1" applyFill="1" applyBorder="1" applyProtection="1">
      <protection hidden="1"/>
    </xf>
    <xf numFmtId="0" fontId="7" fillId="0" borderId="0" xfId="0" applyFont="1" applyFill="1" applyProtection="1">
      <protection hidden="1"/>
    </xf>
    <xf numFmtId="0" fontId="20" fillId="0" borderId="0" xfId="0" applyFont="1" applyFill="1" applyProtection="1">
      <protection hidden="1"/>
    </xf>
    <xf numFmtId="9" fontId="5" fillId="0" borderId="0" xfId="6" applyFont="1" applyFill="1" applyProtection="1">
      <protection hidden="1"/>
    </xf>
    <xf numFmtId="2" fontId="5" fillId="0" borderId="0" xfId="6" applyNumberFormat="1" applyFont="1" applyFill="1" applyProtection="1">
      <protection hidden="1"/>
    </xf>
    <xf numFmtId="0" fontId="5" fillId="0" borderId="0" xfId="0" applyFont="1" applyFill="1" applyAlignment="1" applyProtection="1">
      <alignment wrapText="1"/>
      <protection hidden="1"/>
    </xf>
    <xf numFmtId="2" fontId="5" fillId="0" borderId="0" xfId="6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wrapText="1"/>
      <protection hidden="1"/>
    </xf>
    <xf numFmtId="0" fontId="7" fillId="5" borderId="0" xfId="0" applyFont="1" applyFill="1" applyAlignment="1" applyProtection="1">
      <alignment horizontal="right"/>
      <protection hidden="1"/>
    </xf>
    <xf numFmtId="10" fontId="14" fillId="0" borderId="2" xfId="6" applyNumberFormat="1" applyFont="1" applyFill="1" applyBorder="1" applyAlignment="1" applyProtection="1">
      <alignment horizontal="center" vertical="center"/>
      <protection locked="0"/>
    </xf>
    <xf numFmtId="168" fontId="5" fillId="0" borderId="2" xfId="0" applyNumberFormat="1" applyFont="1" applyFill="1" applyBorder="1" applyAlignment="1" applyProtection="1">
      <alignment vertical="center"/>
      <protection locked="0"/>
    </xf>
    <xf numFmtId="10" fontId="14" fillId="0" borderId="2" xfId="6" applyNumberFormat="1" applyFont="1" applyFill="1" applyBorder="1" applyAlignment="1" applyProtection="1">
      <alignment horizontal="right" vertical="center"/>
      <protection locked="0"/>
    </xf>
    <xf numFmtId="168" fontId="5" fillId="0" borderId="4" xfId="0" applyNumberFormat="1" applyFont="1" applyFill="1" applyBorder="1" applyAlignment="1" applyProtection="1">
      <alignment vertical="center"/>
      <protection locked="0"/>
    </xf>
    <xf numFmtId="166" fontId="1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2" borderId="2" xfId="0" applyNumberFormat="1" applyFont="1" applyFill="1" applyBorder="1" applyAlignment="1" applyProtection="1">
      <alignment vertical="center"/>
    </xf>
    <xf numFmtId="168" fontId="6" fillId="2" borderId="5" xfId="0" applyNumberFormat="1" applyFont="1" applyFill="1" applyBorder="1" applyAlignment="1" applyProtection="1"/>
    <xf numFmtId="166" fontId="5" fillId="0" borderId="4" xfId="0" applyNumberFormat="1" applyFont="1" applyFill="1" applyBorder="1" applyAlignment="1" applyProtection="1">
      <alignment horizontal="center" vertical="center"/>
      <protection locked="0"/>
    </xf>
    <xf numFmtId="9" fontId="14" fillId="0" borderId="2" xfId="6" applyFont="1" applyFill="1" applyBorder="1" applyAlignment="1" applyProtection="1">
      <alignment horizontal="center"/>
      <protection locked="0"/>
    </xf>
    <xf numFmtId="166" fontId="5" fillId="0" borderId="2" xfId="0" applyNumberFormat="1" applyFont="1" applyFill="1" applyBorder="1" applyAlignment="1" applyProtection="1">
      <alignment horizontal="center" vertical="center"/>
      <protection locked="0"/>
    </xf>
    <xf numFmtId="3" fontId="5" fillId="0" borderId="2" xfId="0" applyNumberFormat="1" applyFont="1" applyFill="1" applyBorder="1" applyAlignment="1" applyProtection="1">
      <alignment horizontal="right" vertical="center"/>
      <protection locked="0"/>
    </xf>
    <xf numFmtId="3" fontId="5" fillId="0" borderId="4" xfId="0" applyNumberFormat="1" applyFont="1" applyFill="1" applyBorder="1" applyAlignment="1" applyProtection="1">
      <alignment horizontal="right" vertical="center"/>
      <protection locked="0"/>
    </xf>
    <xf numFmtId="0" fontId="5" fillId="0" borderId="3" xfId="0" applyFont="1" applyFill="1" applyBorder="1" applyAlignment="1" applyProtection="1">
      <protection locked="0"/>
    </xf>
    <xf numFmtId="0" fontId="5" fillId="0" borderId="6" xfId="0" applyFont="1" applyFill="1" applyBorder="1" applyAlignment="1" applyProtection="1">
      <protection locked="0"/>
    </xf>
    <xf numFmtId="168" fontId="30" fillId="0" borderId="2" xfId="4" applyNumberFormat="1" applyFont="1" applyFill="1" applyBorder="1" applyProtection="1">
      <protection locked="0"/>
    </xf>
    <xf numFmtId="9" fontId="5" fillId="0" borderId="0" xfId="6" applyFont="1" applyFill="1" applyBorder="1" applyProtection="1">
      <protection hidden="1"/>
    </xf>
    <xf numFmtId="0" fontId="10" fillId="0" borderId="0" xfId="0" applyFont="1" applyFill="1" applyProtection="1"/>
    <xf numFmtId="0" fontId="9" fillId="0" borderId="0" xfId="0" applyFont="1" applyFill="1" applyProtection="1"/>
    <xf numFmtId="0" fontId="7" fillId="5" borderId="0" xfId="0" applyFont="1" applyFill="1" applyProtection="1"/>
    <xf numFmtId="0" fontId="4" fillId="5" borderId="0" xfId="0" applyFont="1" applyFill="1" applyAlignment="1" applyProtection="1">
      <alignment horizontal="right"/>
    </xf>
    <xf numFmtId="0" fontId="10" fillId="3" borderId="0" xfId="0" applyFont="1" applyFill="1" applyProtection="1"/>
    <xf numFmtId="0" fontId="8" fillId="0" borderId="0" xfId="0" applyFont="1" applyFill="1" applyProtection="1"/>
    <xf numFmtId="0" fontId="5" fillId="0" borderId="0" xfId="0" applyFont="1" applyFill="1" applyAlignment="1" applyProtection="1">
      <alignment horizontal="right"/>
    </xf>
    <xf numFmtId="0" fontId="11" fillId="0" borderId="0" xfId="0" applyFont="1" applyFill="1" applyAlignment="1" applyProtection="1">
      <alignment horizontal="center"/>
    </xf>
    <xf numFmtId="0" fontId="5" fillId="0" borderId="0" xfId="0" applyFont="1" applyFill="1" applyProtection="1"/>
    <xf numFmtId="0" fontId="5" fillId="2" borderId="3" xfId="0" applyFont="1" applyFill="1" applyBorder="1" applyAlignment="1" applyProtection="1">
      <alignment horizontal="left" indent="1"/>
    </xf>
    <xf numFmtId="170" fontId="5" fillId="2" borderId="7" xfId="0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center"/>
    </xf>
    <xf numFmtId="168" fontId="6" fillId="0" borderId="0" xfId="0" applyNumberFormat="1" applyFont="1" applyFill="1" applyBorder="1" applyAlignment="1" applyProtection="1"/>
    <xf numFmtId="0" fontId="26" fillId="0" borderId="0" xfId="0" applyFont="1" applyFill="1" applyBorder="1" applyAlignment="1" applyProtection="1">
      <alignment horizontal="left"/>
    </xf>
    <xf numFmtId="0" fontId="16" fillId="0" borderId="0" xfId="0" applyFont="1" applyFill="1" applyProtection="1"/>
    <xf numFmtId="170" fontId="6" fillId="0" borderId="0" xfId="0" applyNumberFormat="1" applyFont="1" applyFill="1" applyBorder="1" applyAlignment="1" applyProtection="1">
      <alignment vertical="center"/>
    </xf>
    <xf numFmtId="168" fontId="6" fillId="0" borderId="0" xfId="0" applyNumberFormat="1" applyFont="1" applyFill="1" applyBorder="1" applyAlignment="1" applyProtection="1">
      <alignment vertical="center"/>
    </xf>
    <xf numFmtId="0" fontId="5" fillId="3" borderId="0" xfId="0" applyFont="1" applyFill="1" applyProtection="1"/>
    <xf numFmtId="0" fontId="6" fillId="2" borderId="3" xfId="0" applyFont="1" applyFill="1" applyBorder="1" applyAlignment="1" applyProtection="1">
      <alignment horizontal="left"/>
    </xf>
    <xf numFmtId="170" fontId="6" fillId="0" borderId="0" xfId="0" applyNumberFormat="1" applyFont="1" applyFill="1" applyBorder="1" applyAlignment="1" applyProtection="1">
      <alignment horizontal="left" vertical="center"/>
    </xf>
    <xf numFmtId="170" fontId="6" fillId="0" borderId="0" xfId="0" applyNumberFormat="1" applyFont="1" applyFill="1" applyBorder="1" applyAlignment="1" applyProtection="1">
      <alignment horizontal="center" vertical="center"/>
    </xf>
    <xf numFmtId="166" fontId="6" fillId="2" borderId="2" xfId="0" applyNumberFormat="1" applyFont="1" applyFill="1" applyBorder="1" applyAlignment="1" applyProtection="1">
      <alignment horizontal="center"/>
    </xf>
    <xf numFmtId="168" fontId="6" fillId="2" borderId="2" xfId="0" applyNumberFormat="1" applyFont="1" applyFill="1" applyBorder="1" applyAlignment="1" applyProtection="1"/>
    <xf numFmtId="9" fontId="14" fillId="0" borderId="0" xfId="6" applyFont="1" applyFill="1" applyBorder="1" applyAlignment="1" applyProtection="1">
      <alignment horizontal="center" vertical="center"/>
    </xf>
    <xf numFmtId="0" fontId="5" fillId="3" borderId="0" xfId="0" applyFont="1" applyFill="1" applyBorder="1" applyProtection="1"/>
    <xf numFmtId="0" fontId="10" fillId="3" borderId="0" xfId="0" applyFont="1" applyFill="1" applyBorder="1" applyProtection="1"/>
    <xf numFmtId="0" fontId="11" fillId="2" borderId="8" xfId="0" applyFont="1" applyFill="1" applyBorder="1" applyAlignment="1" applyProtection="1"/>
    <xf numFmtId="168" fontId="6" fillId="0" borderId="2" xfId="0" applyNumberFormat="1" applyFont="1" applyFill="1" applyBorder="1" applyAlignment="1" applyProtection="1">
      <protection locked="0"/>
    </xf>
    <xf numFmtId="9" fontId="14" fillId="2" borderId="5" xfId="6" applyFont="1" applyFill="1" applyBorder="1" applyAlignment="1" applyProtection="1">
      <alignment horizontal="center" vertical="center"/>
    </xf>
    <xf numFmtId="0" fontId="11" fillId="2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 wrapText="1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left"/>
    </xf>
    <xf numFmtId="10" fontId="14" fillId="2" borderId="2" xfId="6" applyNumberFormat="1" applyFont="1" applyFill="1" applyBorder="1" applyAlignment="1" applyProtection="1">
      <alignment horizontal="right" vertical="center"/>
    </xf>
    <xf numFmtId="168" fontId="5" fillId="2" borderId="5" xfId="0" applyNumberFormat="1" applyFont="1" applyFill="1" applyBorder="1" applyAlignment="1" applyProtection="1">
      <alignment vertical="center"/>
    </xf>
    <xf numFmtId="0" fontId="5" fillId="0" borderId="0" xfId="0" applyFont="1" applyFill="1" applyAlignment="1" applyProtection="1">
      <alignment horizontal="left"/>
    </xf>
    <xf numFmtId="0" fontId="5" fillId="0" borderId="0" xfId="0" applyFont="1" applyFill="1" applyAlignment="1" applyProtection="1">
      <alignment horizontal="left" indent="1"/>
    </xf>
    <xf numFmtId="0" fontId="26" fillId="0" borderId="0" xfId="0" applyFont="1" applyFill="1" applyAlignment="1" applyProtection="1">
      <alignment horizontal="left"/>
    </xf>
    <xf numFmtId="0" fontId="26" fillId="3" borderId="0" xfId="0" applyFont="1" applyFill="1" applyAlignment="1" applyProtection="1">
      <alignment horizontal="left"/>
    </xf>
    <xf numFmtId="0" fontId="4" fillId="0" borderId="0" xfId="0" applyFont="1" applyFill="1" applyProtection="1"/>
    <xf numFmtId="0" fontId="7" fillId="5" borderId="0" xfId="0" applyFont="1" applyFill="1" applyAlignment="1" applyProtection="1">
      <alignment horizontal="left"/>
    </xf>
    <xf numFmtId="0" fontId="4" fillId="5" borderId="0" xfId="0" applyFont="1" applyFill="1" applyProtection="1"/>
    <xf numFmtId="0" fontId="6" fillId="2" borderId="3" xfId="0" applyFont="1" applyFill="1" applyBorder="1" applyAlignment="1" applyProtection="1"/>
    <xf numFmtId="0" fontId="6" fillId="2" borderId="9" xfId="0" applyFont="1" applyFill="1" applyBorder="1" applyAlignment="1" applyProtection="1"/>
    <xf numFmtId="0" fontId="5" fillId="2" borderId="9" xfId="0" applyFont="1" applyFill="1" applyBorder="1" applyProtection="1"/>
    <xf numFmtId="0" fontId="5" fillId="2" borderId="7" xfId="0" applyFont="1" applyFill="1" applyBorder="1" applyProtection="1"/>
    <xf numFmtId="9" fontId="14" fillId="2" borderId="2" xfId="6" applyFont="1" applyFill="1" applyBorder="1" applyAlignment="1" applyProtection="1">
      <alignment horizontal="center" vertical="center"/>
    </xf>
    <xf numFmtId="0" fontId="5" fillId="2" borderId="2" xfId="0" applyFont="1" applyFill="1" applyBorder="1" applyProtection="1"/>
    <xf numFmtId="38" fontId="5" fillId="2" borderId="2" xfId="0" applyNumberFormat="1" applyFont="1" applyFill="1" applyBorder="1" applyProtection="1"/>
    <xf numFmtId="0" fontId="8" fillId="0" borderId="0" xfId="0" applyFont="1" applyFill="1" applyAlignment="1" applyProtection="1">
      <alignment horizontal="left"/>
    </xf>
    <xf numFmtId="38" fontId="12" fillId="0" borderId="0" xfId="0" applyNumberFormat="1" applyFont="1" applyFill="1" applyProtection="1"/>
    <xf numFmtId="38" fontId="5" fillId="0" borderId="0" xfId="0" applyNumberFormat="1" applyFont="1" applyFill="1" applyAlignment="1" applyProtection="1">
      <alignment horizontal="center"/>
    </xf>
    <xf numFmtId="0" fontId="5" fillId="2" borderId="3" xfId="0" applyFont="1" applyFill="1" applyBorder="1" applyAlignment="1" applyProtection="1"/>
    <xf numFmtId="0" fontId="6" fillId="0" borderId="9" xfId="0" applyFont="1" applyFill="1" applyBorder="1" applyAlignment="1" applyProtection="1"/>
    <xf numFmtId="0" fontId="5" fillId="0" borderId="9" xfId="0" applyFont="1" applyFill="1" applyBorder="1" applyProtection="1"/>
    <xf numFmtId="0" fontId="6" fillId="0" borderId="10" xfId="0" applyFont="1" applyFill="1" applyBorder="1" applyAlignment="1" applyProtection="1"/>
    <xf numFmtId="0" fontId="5" fillId="0" borderId="10" xfId="0" applyFont="1" applyFill="1" applyBorder="1" applyProtection="1"/>
    <xf numFmtId="166" fontId="6" fillId="2" borderId="5" xfId="0" applyNumberFormat="1" applyFont="1" applyFill="1" applyBorder="1" applyAlignment="1" applyProtection="1">
      <alignment horizontal="center" vertical="center"/>
    </xf>
    <xf numFmtId="3" fontId="5" fillId="2" borderId="2" xfId="0" applyNumberFormat="1" applyFont="1" applyFill="1" applyBorder="1" applyAlignment="1" applyProtection="1">
      <alignment horizontal="right" vertical="center"/>
    </xf>
    <xf numFmtId="0" fontId="6" fillId="2" borderId="10" xfId="0" applyFont="1" applyFill="1" applyBorder="1" applyAlignment="1" applyProtection="1"/>
    <xf numFmtId="0" fontId="5" fillId="2" borderId="10" xfId="0" applyFont="1" applyFill="1" applyBorder="1" applyProtection="1"/>
    <xf numFmtId="38" fontId="5" fillId="0" borderId="0" xfId="0" applyNumberFormat="1" applyFont="1" applyFill="1" applyBorder="1" applyAlignment="1" applyProtection="1">
      <alignment horizontal="left"/>
    </xf>
    <xf numFmtId="38" fontId="5" fillId="0" borderId="0" xfId="0" applyNumberFormat="1" applyFont="1" applyFill="1" applyBorder="1" applyProtection="1"/>
    <xf numFmtId="38" fontId="14" fillId="0" borderId="0" xfId="0" applyNumberFormat="1" applyFont="1" applyFill="1" applyBorder="1" applyAlignment="1" applyProtection="1"/>
    <xf numFmtId="168" fontId="5" fillId="0" borderId="0" xfId="0" applyNumberFormat="1" applyFont="1" applyFill="1" applyBorder="1" applyAlignment="1" applyProtection="1">
      <alignment vertical="center"/>
    </xf>
    <xf numFmtId="168" fontId="5" fillId="2" borderId="2" xfId="0" applyNumberFormat="1" applyFont="1" applyFill="1" applyBorder="1" applyAlignment="1" applyProtection="1">
      <alignment horizontal="right" vertical="center"/>
    </xf>
    <xf numFmtId="168" fontId="6" fillId="2" borderId="5" xfId="0" applyNumberFormat="1" applyFont="1" applyFill="1" applyBorder="1" applyAlignment="1" applyProtection="1">
      <alignment horizontal="right" vertical="center"/>
    </xf>
    <xf numFmtId="38" fontId="5" fillId="0" borderId="0" xfId="0" applyNumberFormat="1" applyFont="1" applyFill="1" applyBorder="1" applyAlignment="1" applyProtection="1">
      <alignment horizontal="center"/>
    </xf>
    <xf numFmtId="168" fontId="5" fillId="0" borderId="0" xfId="0" applyNumberFormat="1" applyFont="1" applyFill="1" applyBorder="1" applyProtection="1"/>
    <xf numFmtId="0" fontId="5" fillId="2" borderId="3" xfId="0" applyFont="1" applyFill="1" applyBorder="1" applyAlignment="1" applyProtection="1">
      <alignment horizontal="left"/>
    </xf>
    <xf numFmtId="0" fontId="5" fillId="2" borderId="9" xfId="0" applyFont="1" applyFill="1" applyBorder="1" applyAlignment="1" applyProtection="1">
      <alignment horizontal="left"/>
    </xf>
    <xf numFmtId="0" fontId="5" fillId="2" borderId="7" xfId="0" applyFont="1" applyFill="1" applyBorder="1" applyAlignment="1" applyProtection="1">
      <alignment horizontal="left" indent="1"/>
    </xf>
    <xf numFmtId="10" fontId="5" fillId="2" borderId="2" xfId="6" applyNumberFormat="1" applyFont="1" applyFill="1" applyBorder="1" applyAlignment="1" applyProtection="1">
      <alignment horizontal="center"/>
    </xf>
    <xf numFmtId="168" fontId="5" fillId="2" borderId="2" xfId="0" applyNumberFormat="1" applyFont="1" applyFill="1" applyBorder="1" applyProtection="1"/>
    <xf numFmtId="38" fontId="5" fillId="2" borderId="3" xfId="0" applyNumberFormat="1" applyFont="1" applyFill="1" applyBorder="1" applyProtection="1"/>
    <xf numFmtId="38" fontId="5" fillId="2" borderId="7" xfId="0" applyNumberFormat="1" applyFont="1" applyFill="1" applyBorder="1" applyProtection="1"/>
    <xf numFmtId="168" fontId="5" fillId="2" borderId="7" xfId="0" applyNumberFormat="1" applyFont="1" applyFill="1" applyBorder="1" applyAlignment="1" applyProtection="1">
      <alignment vertical="center"/>
    </xf>
    <xf numFmtId="0" fontId="5" fillId="2" borderId="0" xfId="0" applyFont="1" applyFill="1" applyProtection="1"/>
    <xf numFmtId="9" fontId="5" fillId="2" borderId="0" xfId="6" applyFont="1" applyFill="1" applyBorder="1" applyAlignment="1" applyProtection="1">
      <alignment horizontal="left"/>
    </xf>
    <xf numFmtId="0" fontId="5" fillId="2" borderId="6" xfId="0" applyFont="1" applyFill="1" applyBorder="1" applyProtection="1"/>
    <xf numFmtId="9" fontId="5" fillId="2" borderId="7" xfId="6" applyFont="1" applyFill="1" applyBorder="1" applyAlignment="1" applyProtection="1">
      <alignment horizontal="left"/>
    </xf>
    <xf numFmtId="38" fontId="5" fillId="0" borderId="0" xfId="0" applyNumberFormat="1" applyFont="1" applyFill="1" applyBorder="1" applyAlignment="1" applyProtection="1"/>
    <xf numFmtId="0" fontId="5" fillId="2" borderId="3" xfId="0" applyFont="1" applyFill="1" applyBorder="1" applyProtection="1"/>
    <xf numFmtId="0" fontId="5" fillId="2" borderId="9" xfId="0" applyFont="1" applyFill="1" applyBorder="1" applyAlignment="1" applyProtection="1">
      <alignment horizontal="left" indent="1"/>
    </xf>
    <xf numFmtId="9" fontId="5" fillId="2" borderId="11" xfId="6" applyFont="1" applyFill="1" applyBorder="1" applyAlignment="1" applyProtection="1">
      <alignment horizontal="left"/>
    </xf>
    <xf numFmtId="38" fontId="6" fillId="0" borderId="0" xfId="0" applyNumberFormat="1" applyFont="1" applyFill="1" applyBorder="1" applyProtection="1"/>
    <xf numFmtId="9" fontId="5" fillId="3" borderId="0" xfId="6" applyFont="1" applyFill="1" applyBorder="1" applyAlignment="1" applyProtection="1">
      <alignment horizontal="left"/>
    </xf>
    <xf numFmtId="168" fontId="5" fillId="3" borderId="0" xfId="0" applyNumberFormat="1" applyFont="1" applyFill="1" applyBorder="1" applyProtection="1"/>
    <xf numFmtId="0" fontId="5" fillId="3" borderId="0" xfId="0" applyFont="1" applyFill="1" applyBorder="1" applyAlignment="1" applyProtection="1">
      <alignment horizontal="left" indent="1"/>
    </xf>
    <xf numFmtId="166" fontId="5" fillId="2" borderId="4" xfId="0" applyNumberFormat="1" applyFont="1" applyFill="1" applyBorder="1" applyAlignment="1" applyProtection="1">
      <alignment horizontal="center" vertical="center"/>
    </xf>
    <xf numFmtId="0" fontId="9" fillId="0" borderId="0" xfId="0" applyFont="1" applyFill="1" applyBorder="1" applyProtection="1"/>
    <xf numFmtId="0" fontId="7" fillId="5" borderId="0" xfId="0" applyFont="1" applyFill="1" applyBorder="1" applyProtection="1"/>
    <xf numFmtId="0" fontId="4" fillId="5" borderId="0" xfId="0" applyFont="1" applyFill="1" applyBorder="1" applyAlignment="1" applyProtection="1">
      <alignment horizontal="right"/>
    </xf>
    <xf numFmtId="0" fontId="5" fillId="0" borderId="0" xfId="0" applyFont="1" applyFill="1" applyBorder="1" applyProtection="1"/>
    <xf numFmtId="0" fontId="6" fillId="2" borderId="3" xfId="0" applyFont="1" applyFill="1" applyBorder="1" applyProtection="1"/>
    <xf numFmtId="38" fontId="5" fillId="2" borderId="9" xfId="0" applyNumberFormat="1" applyFont="1" applyFill="1" applyBorder="1" applyProtection="1"/>
    <xf numFmtId="1" fontId="5" fillId="2" borderId="2" xfId="0" applyNumberFormat="1" applyFont="1" applyFill="1" applyBorder="1" applyAlignment="1" applyProtection="1">
      <alignment horizontal="center" vertical="center"/>
    </xf>
    <xf numFmtId="3" fontId="6" fillId="2" borderId="2" xfId="0" applyNumberFormat="1" applyFont="1" applyFill="1" applyBorder="1" applyAlignment="1" applyProtection="1">
      <alignment horizontal="right" vertical="center"/>
    </xf>
    <xf numFmtId="0" fontId="6" fillId="2" borderId="9" xfId="0" applyFont="1" applyFill="1" applyBorder="1" applyProtection="1"/>
    <xf numFmtId="3" fontId="5" fillId="2" borderId="2" xfId="0" applyNumberFormat="1" applyFont="1" applyFill="1" applyBorder="1" applyAlignment="1" applyProtection="1">
      <alignment horizontal="center"/>
    </xf>
    <xf numFmtId="3" fontId="5" fillId="2" borderId="2" xfId="0" applyNumberFormat="1" applyFont="1" applyFill="1" applyBorder="1" applyProtection="1"/>
    <xf numFmtId="3" fontId="6" fillId="2" borderId="5" xfId="0" applyNumberFormat="1" applyFont="1" applyFill="1" applyBorder="1" applyAlignment="1" applyProtection="1">
      <alignment horizontal="right" vertical="center"/>
    </xf>
    <xf numFmtId="0" fontId="5" fillId="0" borderId="0" xfId="0" applyFont="1" applyFill="1" applyBorder="1" applyAlignment="1" applyProtection="1">
      <alignment horizontal="left" indent="1"/>
    </xf>
    <xf numFmtId="3" fontId="5" fillId="0" borderId="12" xfId="0" applyNumberFormat="1" applyFont="1" applyFill="1" applyBorder="1" applyAlignment="1" applyProtection="1">
      <alignment horizontal="center"/>
    </xf>
    <xf numFmtId="3" fontId="5" fillId="0" borderId="12" xfId="0" applyNumberFormat="1" applyFont="1" applyFill="1" applyBorder="1" applyProtection="1"/>
    <xf numFmtId="0" fontId="6" fillId="2" borderId="8" xfId="0" applyFont="1" applyFill="1" applyBorder="1" applyAlignment="1" applyProtection="1">
      <alignment horizontal="left"/>
    </xf>
    <xf numFmtId="0" fontId="5" fillId="2" borderId="13" xfId="0" applyFont="1" applyFill="1" applyBorder="1" applyAlignment="1" applyProtection="1">
      <alignment horizontal="left" indent="2"/>
    </xf>
    <xf numFmtId="0" fontId="6" fillId="0" borderId="14" xfId="0" applyFont="1" applyFill="1" applyBorder="1" applyAlignment="1" applyProtection="1">
      <alignment horizontal="left"/>
    </xf>
    <xf numFmtId="0" fontId="5" fillId="0" borderId="12" xfId="0" applyFont="1" applyFill="1" applyBorder="1" applyAlignment="1" applyProtection="1">
      <alignment horizontal="left" indent="2"/>
    </xf>
    <xf numFmtId="0" fontId="27" fillId="0" borderId="0" xfId="0" applyFont="1" applyFill="1" applyProtection="1"/>
    <xf numFmtId="3" fontId="5" fillId="0" borderId="0" xfId="0" applyNumberFormat="1" applyFont="1" applyFill="1" applyBorder="1" applyProtection="1"/>
    <xf numFmtId="3" fontId="5" fillId="3" borderId="0" xfId="0" applyNumberFormat="1" applyFont="1" applyFill="1" applyProtection="1"/>
    <xf numFmtId="3" fontId="5" fillId="3" borderId="0" xfId="0" applyNumberFormat="1" applyFont="1" applyFill="1" applyBorder="1" applyProtection="1"/>
    <xf numFmtId="0" fontId="11" fillId="0" borderId="0" xfId="4" applyFont="1" applyFill="1" applyBorder="1" applyAlignment="1" applyProtection="1">
      <alignment horizontal="center"/>
    </xf>
    <xf numFmtId="0" fontId="5" fillId="3" borderId="0" xfId="4" applyFont="1" applyFill="1" applyProtection="1"/>
    <xf numFmtId="0" fontId="6" fillId="0" borderId="12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2" borderId="2" xfId="4" applyFont="1" applyFill="1" applyBorder="1" applyAlignment="1" applyProtection="1">
      <alignment horizontal="center"/>
    </xf>
    <xf numFmtId="0" fontId="6" fillId="2" borderId="3" xfId="4" applyFont="1" applyFill="1" applyBorder="1" applyProtection="1"/>
    <xf numFmtId="0" fontId="5" fillId="2" borderId="7" xfId="4" applyFont="1" applyFill="1" applyBorder="1" applyProtection="1"/>
    <xf numFmtId="0" fontId="5" fillId="2" borderId="3" xfId="4" applyFont="1" applyFill="1" applyBorder="1" applyProtection="1"/>
    <xf numFmtId="3" fontId="14" fillId="2" borderId="2" xfId="4" applyNumberFormat="1" applyFont="1" applyFill="1" applyBorder="1" applyProtection="1"/>
    <xf numFmtId="3" fontId="6" fillId="2" borderId="2" xfId="4" applyNumberFormat="1" applyFont="1" applyFill="1" applyBorder="1" applyAlignment="1" applyProtection="1"/>
    <xf numFmtId="3" fontId="6" fillId="2" borderId="5" xfId="4" applyNumberFormat="1" applyFont="1" applyFill="1" applyBorder="1" applyAlignment="1" applyProtection="1">
      <alignment horizontal="right"/>
    </xf>
    <xf numFmtId="168" fontId="6" fillId="0" borderId="0" xfId="4" applyNumberFormat="1" applyFont="1" applyFill="1" applyBorder="1" applyAlignment="1" applyProtection="1">
      <alignment horizontal="left" vertical="center"/>
    </xf>
    <xf numFmtId="3" fontId="6" fillId="0" borderId="0" xfId="4" applyNumberFormat="1" applyFont="1" applyFill="1" applyBorder="1" applyAlignment="1" applyProtection="1">
      <alignment horizontal="right"/>
    </xf>
    <xf numFmtId="168" fontId="6" fillId="2" borderId="8" xfId="4" applyNumberFormat="1" applyFont="1" applyFill="1" applyBorder="1" applyAlignment="1" applyProtection="1">
      <alignment vertical="center"/>
    </xf>
    <xf numFmtId="0" fontId="13" fillId="0" borderId="0" xfId="4" applyFont="1" applyFill="1" applyBorder="1" applyProtection="1"/>
    <xf numFmtId="0" fontId="5" fillId="0" borderId="0" xfId="4" applyFont="1" applyFill="1" applyBorder="1" applyProtection="1"/>
    <xf numFmtId="168" fontId="5" fillId="0" borderId="0" xfId="4" applyNumberFormat="1" applyFont="1" applyFill="1" applyProtection="1"/>
    <xf numFmtId="3" fontId="30" fillId="2" borderId="2" xfId="4" applyNumberFormat="1" applyFont="1" applyFill="1" applyBorder="1" applyProtection="1"/>
    <xf numFmtId="0" fontId="11" fillId="2" borderId="3" xfId="4" applyFont="1" applyFill="1" applyBorder="1" applyAlignment="1" applyProtection="1">
      <alignment horizontal="center"/>
    </xf>
    <xf numFmtId="0" fontId="11" fillId="2" borderId="7" xfId="4" applyFont="1" applyFill="1" applyBorder="1" applyAlignment="1" applyProtection="1">
      <alignment horizontal="center"/>
    </xf>
    <xf numFmtId="0" fontId="6" fillId="2" borderId="8" xfId="0" applyFont="1" applyFill="1" applyBorder="1" applyProtection="1"/>
    <xf numFmtId="0" fontId="5" fillId="0" borderId="0" xfId="0" applyFont="1" applyFill="1" applyAlignment="1" applyProtection="1">
      <alignment horizontal="fill"/>
    </xf>
    <xf numFmtId="167" fontId="5" fillId="0" borderId="0" xfId="0" applyNumberFormat="1" applyFont="1" applyFill="1" applyProtection="1"/>
    <xf numFmtId="170" fontId="5" fillId="0" borderId="0" xfId="0" applyNumberFormat="1" applyFont="1" applyFill="1" applyProtection="1"/>
    <xf numFmtId="0" fontId="6" fillId="0" borderId="0" xfId="0" applyFont="1" applyFill="1" applyProtection="1"/>
    <xf numFmtId="3" fontId="5" fillId="2" borderId="4" xfId="0" applyNumberFormat="1" applyFont="1" applyFill="1" applyBorder="1" applyProtection="1"/>
    <xf numFmtId="9" fontId="5" fillId="2" borderId="15" xfId="6" applyFont="1" applyFill="1" applyBorder="1" applyAlignment="1" applyProtection="1">
      <alignment horizontal="right" vertical="center"/>
    </xf>
    <xf numFmtId="9" fontId="5" fillId="2" borderId="2" xfId="6" applyFont="1" applyFill="1" applyBorder="1" applyAlignment="1" applyProtection="1">
      <alignment horizontal="right" vertical="center"/>
    </xf>
    <xf numFmtId="0" fontId="5" fillId="2" borderId="15" xfId="0" applyFont="1" applyFill="1" applyBorder="1" applyProtection="1"/>
    <xf numFmtId="3" fontId="5" fillId="2" borderId="7" xfId="0" applyNumberFormat="1" applyFont="1" applyFill="1" applyBorder="1" applyProtection="1"/>
    <xf numFmtId="0" fontId="5" fillId="2" borderId="0" xfId="0" applyFont="1" applyFill="1" applyBorder="1" applyProtection="1"/>
    <xf numFmtId="3" fontId="5" fillId="2" borderId="6" xfId="0" applyNumberFormat="1" applyFont="1" applyFill="1" applyBorder="1" applyProtection="1"/>
    <xf numFmtId="3" fontId="5" fillId="2" borderId="11" xfId="0" applyNumberFormat="1" applyFont="1" applyFill="1" applyBorder="1" applyProtection="1"/>
    <xf numFmtId="9" fontId="5" fillId="2" borderId="16" xfId="6" applyFont="1" applyFill="1" applyBorder="1" applyAlignment="1" applyProtection="1">
      <alignment horizontal="right" vertical="center"/>
    </xf>
    <xf numFmtId="9" fontId="5" fillId="2" borderId="0" xfId="6" applyFont="1" applyFill="1" applyBorder="1" applyAlignment="1" applyProtection="1">
      <alignment horizontal="right" vertical="center"/>
    </xf>
    <xf numFmtId="0" fontId="5" fillId="2" borderId="16" xfId="0" applyFont="1" applyFill="1" applyBorder="1" applyProtection="1"/>
    <xf numFmtId="3" fontId="5" fillId="2" borderId="0" xfId="0" applyNumberFormat="1" applyFont="1" applyFill="1" applyBorder="1" applyProtection="1"/>
    <xf numFmtId="3" fontId="5" fillId="2" borderId="10" xfId="0" applyNumberFormat="1" applyFont="1" applyFill="1" applyBorder="1" applyProtection="1"/>
    <xf numFmtId="3" fontId="5" fillId="0" borderId="0" xfId="0" applyNumberFormat="1" applyFont="1" applyFill="1" applyProtection="1"/>
    <xf numFmtId="0" fontId="6" fillId="0" borderId="0" xfId="0" applyFont="1" applyFill="1" applyAlignment="1" applyProtection="1">
      <alignment horizontal="left"/>
    </xf>
    <xf numFmtId="165" fontId="5" fillId="0" borderId="0" xfId="0" applyNumberFormat="1" applyFont="1" applyFill="1" applyBorder="1" applyAlignment="1" applyProtection="1">
      <alignment horizontal="center" vertical="center"/>
    </xf>
    <xf numFmtId="168" fontId="5" fillId="2" borderId="2" xfId="0" applyNumberFormat="1" applyFont="1" applyFill="1" applyBorder="1" applyAlignment="1" applyProtection="1"/>
    <xf numFmtId="0" fontId="6" fillId="2" borderId="13" xfId="0" applyFont="1" applyFill="1" applyBorder="1" applyAlignment="1" applyProtection="1">
      <alignment horizontal="left"/>
    </xf>
    <xf numFmtId="3" fontId="9" fillId="0" borderId="0" xfId="6" applyNumberFormat="1" applyFont="1" applyFill="1" applyBorder="1" applyAlignment="1" applyProtection="1"/>
    <xf numFmtId="0" fontId="18" fillId="0" borderId="0" xfId="0" applyFont="1" applyFill="1" applyProtection="1"/>
    <xf numFmtId="0" fontId="4" fillId="5" borderId="0" xfId="0" applyFont="1" applyFill="1" applyBorder="1" applyProtection="1"/>
    <xf numFmtId="0" fontId="18" fillId="3" borderId="0" xfId="0" applyFont="1" applyFill="1" applyProtection="1"/>
    <xf numFmtId="0" fontId="5" fillId="2" borderId="14" xfId="0" applyFont="1" applyFill="1" applyBorder="1" applyAlignment="1" applyProtection="1">
      <alignment horizontal="left" indent="1"/>
    </xf>
    <xf numFmtId="38" fontId="5" fillId="2" borderId="7" xfId="2" applyNumberFormat="1" applyFont="1" applyFill="1" applyBorder="1" applyProtection="1"/>
    <xf numFmtId="0" fontId="5" fillId="2" borderId="9" xfId="0" applyFont="1" applyFill="1" applyBorder="1" applyAlignment="1" applyProtection="1">
      <alignment horizontal="left" indent="2"/>
    </xf>
    <xf numFmtId="3" fontId="6" fillId="2" borderId="2" xfId="0" applyNumberFormat="1" applyFont="1" applyFill="1" applyBorder="1" applyAlignment="1" applyProtection="1">
      <alignment horizontal="center"/>
    </xf>
    <xf numFmtId="38" fontId="5" fillId="2" borderId="17" xfId="2" applyNumberFormat="1" applyFont="1" applyFill="1" applyBorder="1" applyProtection="1"/>
    <xf numFmtId="0" fontId="18" fillId="2" borderId="0" xfId="0" applyFont="1" applyFill="1" applyProtection="1"/>
    <xf numFmtId="0" fontId="6" fillId="2" borderId="18" xfId="0" applyFont="1" applyFill="1" applyBorder="1" applyAlignment="1" applyProtection="1">
      <alignment horizontal="left" indent="1"/>
    </xf>
    <xf numFmtId="0" fontId="5" fillId="0" borderId="19" xfId="0" applyFont="1" applyFill="1" applyBorder="1" applyProtection="1"/>
    <xf numFmtId="38" fontId="5" fillId="0" borderId="0" xfId="2" applyNumberFormat="1" applyFont="1" applyFill="1" applyBorder="1" applyAlignment="1" applyProtection="1">
      <alignment horizontal="center"/>
    </xf>
    <xf numFmtId="168" fontId="5" fillId="0" borderId="0" xfId="0" applyNumberFormat="1" applyFont="1" applyFill="1" applyBorder="1" applyAlignment="1" applyProtection="1"/>
    <xf numFmtId="38" fontId="5" fillId="3" borderId="0" xfId="2" applyNumberFormat="1" applyFont="1" applyFill="1" applyBorder="1" applyAlignment="1" applyProtection="1">
      <alignment horizontal="center"/>
    </xf>
    <xf numFmtId="168" fontId="5" fillId="3" borderId="0" xfId="0" applyNumberFormat="1" applyFont="1" applyFill="1" applyBorder="1" applyAlignment="1" applyProtection="1"/>
    <xf numFmtId="0" fontId="6" fillId="3" borderId="0" xfId="0" applyFont="1" applyFill="1" applyProtection="1"/>
    <xf numFmtId="38" fontId="5" fillId="3" borderId="0" xfId="2" applyNumberFormat="1" applyFont="1" applyFill="1" applyBorder="1" applyProtection="1"/>
    <xf numFmtId="168" fontId="6" fillId="3" borderId="0" xfId="0" applyNumberFormat="1" applyFont="1" applyFill="1" applyBorder="1" applyAlignment="1" applyProtection="1"/>
    <xf numFmtId="168" fontId="19" fillId="3" borderId="0" xfId="0" applyNumberFormat="1" applyFont="1" applyFill="1" applyBorder="1" applyAlignment="1" applyProtection="1"/>
    <xf numFmtId="0" fontId="5" fillId="3" borderId="0" xfId="0" applyFont="1" applyFill="1" applyAlignment="1" applyProtection="1">
      <alignment horizontal="left" indent="1"/>
    </xf>
    <xf numFmtId="38" fontId="5" fillId="3" borderId="0" xfId="0" applyNumberFormat="1" applyFont="1" applyFill="1" applyBorder="1" applyProtection="1"/>
    <xf numFmtId="38" fontId="5" fillId="3" borderId="0" xfId="0" applyNumberFormat="1" applyFont="1" applyFill="1" applyBorder="1" applyAlignment="1" applyProtection="1"/>
    <xf numFmtId="0" fontId="18" fillId="3" borderId="0" xfId="0" applyFont="1" applyFill="1" applyBorder="1" applyProtection="1"/>
    <xf numFmtId="3" fontId="5" fillId="2" borderId="2" xfId="6" applyNumberFormat="1" applyFont="1" applyFill="1" applyBorder="1" applyAlignment="1" applyProtection="1">
      <alignment horizontal="right" vertical="center"/>
    </xf>
    <xf numFmtId="3" fontId="5" fillId="2" borderId="20" xfId="6" applyNumberFormat="1" applyFont="1" applyFill="1" applyBorder="1" applyAlignment="1" applyProtection="1">
      <alignment horizontal="right" vertical="center"/>
    </xf>
    <xf numFmtId="3" fontId="5" fillId="2" borderId="21" xfId="6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Protection="1"/>
    <xf numFmtId="0" fontId="8" fillId="5" borderId="0" xfId="0" applyFont="1" applyFill="1" applyBorder="1" applyProtection="1"/>
    <xf numFmtId="0" fontId="9" fillId="5" borderId="0" xfId="0" applyFont="1" applyFill="1" applyBorder="1" applyProtection="1"/>
    <xf numFmtId="0" fontId="8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0" fontId="9" fillId="3" borderId="0" xfId="0" applyFont="1" applyFill="1" applyProtection="1"/>
    <xf numFmtId="1" fontId="5" fillId="2" borderId="2" xfId="0" applyNumberFormat="1" applyFont="1" applyFill="1" applyBorder="1" applyAlignment="1" applyProtection="1">
      <alignment horizontal="right" vertical="center"/>
    </xf>
    <xf numFmtId="3" fontId="6" fillId="2" borderId="5" xfId="0" applyNumberFormat="1" applyFont="1" applyFill="1" applyBorder="1" applyAlignment="1" applyProtection="1"/>
    <xf numFmtId="38" fontId="5" fillId="0" borderId="0" xfId="0" applyNumberFormat="1" applyFont="1" applyFill="1" applyProtection="1"/>
    <xf numFmtId="3" fontId="5" fillId="2" borderId="2" xfId="0" applyNumberFormat="1" applyFont="1" applyFill="1" applyBorder="1" applyAlignment="1" applyProtection="1">
      <alignment horizontal="right"/>
    </xf>
    <xf numFmtId="0" fontId="31" fillId="3" borderId="0" xfId="0" applyFont="1" applyFill="1" applyProtection="1"/>
    <xf numFmtId="168" fontId="31" fillId="3" borderId="0" xfId="0" applyNumberFormat="1" applyFont="1" applyFill="1" applyProtection="1"/>
    <xf numFmtId="173" fontId="31" fillId="3" borderId="0" xfId="0" applyNumberFormat="1" applyFont="1" applyFill="1" applyProtection="1"/>
    <xf numFmtId="3" fontId="31" fillId="3" borderId="0" xfId="0" applyNumberFormat="1" applyFont="1" applyFill="1" applyProtection="1"/>
    <xf numFmtId="0" fontId="8" fillId="3" borderId="0" xfId="0" applyFont="1" applyFill="1" applyBorder="1" applyProtection="1"/>
    <xf numFmtId="40" fontId="5" fillId="0" borderId="0" xfId="1" applyNumberFormat="1" applyFont="1" applyFill="1" applyProtection="1"/>
    <xf numFmtId="3" fontId="6" fillId="2" borderId="2" xfId="6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left"/>
    </xf>
    <xf numFmtId="3" fontId="6" fillId="0" borderId="0" xfId="6" applyNumberFormat="1" applyFont="1" applyFill="1" applyBorder="1" applyAlignment="1" applyProtection="1">
      <alignment horizontal="right" vertical="center"/>
    </xf>
    <xf numFmtId="0" fontId="5" fillId="2" borderId="7" xfId="0" applyFont="1" applyFill="1" applyBorder="1" applyAlignment="1" applyProtection="1">
      <alignment vertical="center" wrapText="1"/>
    </xf>
    <xf numFmtId="10" fontId="5" fillId="2" borderId="2" xfId="0" applyNumberFormat="1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vertical="center" wrapText="1"/>
    </xf>
    <xf numFmtId="3" fontId="5" fillId="2" borderId="2" xfId="0" applyNumberFormat="1" applyFont="1" applyFill="1" applyBorder="1" applyAlignment="1" applyProtection="1">
      <alignment vertical="center" wrapText="1"/>
    </xf>
    <xf numFmtId="169" fontId="5" fillId="2" borderId="2" xfId="0" applyNumberFormat="1" applyFont="1" applyFill="1" applyBorder="1" applyProtection="1"/>
    <xf numFmtId="0" fontId="5" fillId="0" borderId="0" xfId="0" applyFont="1" applyFill="1" applyBorder="1" applyAlignment="1" applyProtection="1">
      <alignment vertical="center" wrapText="1"/>
    </xf>
    <xf numFmtId="40" fontId="22" fillId="0" borderId="0" xfId="1" applyNumberFormat="1" applyFont="1" applyFill="1" applyProtection="1"/>
    <xf numFmtId="40" fontId="22" fillId="0" borderId="0" xfId="1" applyNumberFormat="1" applyFont="1" applyFill="1" applyBorder="1" applyProtection="1"/>
    <xf numFmtId="40" fontId="5" fillId="0" borderId="0" xfId="1" applyNumberFormat="1" applyFont="1" applyFill="1" applyBorder="1" applyAlignment="1" applyProtection="1">
      <alignment horizontal="right"/>
    </xf>
    <xf numFmtId="40" fontId="22" fillId="0" borderId="0" xfId="1" applyNumberFormat="1" applyFont="1" applyFill="1" applyBorder="1" applyAlignment="1" applyProtection="1">
      <alignment horizontal="right"/>
    </xf>
    <xf numFmtId="164" fontId="5" fillId="0" borderId="0" xfId="0" applyNumberFormat="1" applyFont="1" applyFill="1" applyBorder="1" applyProtection="1"/>
    <xf numFmtId="10" fontId="6" fillId="2" borderId="2" xfId="6" applyNumberFormat="1" applyFont="1" applyFill="1" applyBorder="1" applyAlignment="1" applyProtection="1">
      <alignment horizontal="right" vertical="center"/>
    </xf>
    <xf numFmtId="40" fontId="5" fillId="0" borderId="0" xfId="1" applyNumberFormat="1" applyFont="1" applyFill="1" applyBorder="1" applyAlignment="1" applyProtection="1">
      <alignment horizontal="left"/>
    </xf>
    <xf numFmtId="3" fontId="6" fillId="2" borderId="2" xfId="6" applyNumberFormat="1" applyFont="1" applyFill="1" applyBorder="1" applyAlignment="1" applyProtection="1">
      <alignment horizontal="left" vertical="center"/>
    </xf>
    <xf numFmtId="10" fontId="5" fillId="0" borderId="0" xfId="0" applyNumberFormat="1" applyFont="1" applyFill="1" applyProtection="1"/>
    <xf numFmtId="3" fontId="5" fillId="0" borderId="0" xfId="0" applyNumberFormat="1" applyFont="1" applyFill="1" applyBorder="1" applyAlignment="1" applyProtection="1">
      <alignment vertical="center" wrapText="1"/>
    </xf>
    <xf numFmtId="169" fontId="5" fillId="0" borderId="0" xfId="0" applyNumberFormat="1" applyFont="1" applyFill="1" applyProtection="1"/>
    <xf numFmtId="40" fontId="5" fillId="3" borderId="0" xfId="1" applyNumberFormat="1" applyFont="1" applyFill="1" applyProtection="1"/>
    <xf numFmtId="40" fontId="5" fillId="3" borderId="0" xfId="1" applyNumberFormat="1" applyFont="1" applyFill="1" applyBorder="1" applyProtection="1"/>
    <xf numFmtId="0" fontId="4" fillId="5" borderId="0" xfId="0" applyFont="1" applyFill="1" applyAlignment="1" applyProtection="1">
      <alignment horizontal="right"/>
      <protection locked="0"/>
    </xf>
    <xf numFmtId="168" fontId="30" fillId="3" borderId="0" xfId="0" applyNumberFormat="1" applyFont="1" applyFill="1" applyProtection="1"/>
    <xf numFmtId="168" fontId="5" fillId="0" borderId="7" xfId="0" applyNumberFormat="1" applyFont="1" applyFill="1" applyBorder="1" applyAlignment="1" applyProtection="1">
      <alignment vertical="center"/>
      <protection locked="0"/>
    </xf>
    <xf numFmtId="168" fontId="6" fillId="6" borderId="2" xfId="0" applyNumberFormat="1" applyFont="1" applyFill="1" applyBorder="1" applyAlignment="1" applyProtection="1">
      <alignment vertical="center"/>
      <protection locked="0"/>
    </xf>
    <xf numFmtId="168" fontId="14" fillId="6" borderId="2" xfId="0" applyNumberFormat="1" applyFont="1" applyFill="1" applyBorder="1" applyAlignment="1" applyProtection="1">
      <alignment vertical="center"/>
      <protection locked="0"/>
    </xf>
    <xf numFmtId="168" fontId="5" fillId="6" borderId="2" xfId="0" applyNumberFormat="1" applyFont="1" applyFill="1" applyBorder="1" applyAlignment="1" applyProtection="1">
      <alignment vertical="center"/>
      <protection locked="0"/>
    </xf>
    <xf numFmtId="9" fontId="14" fillId="6" borderId="2" xfId="6" applyFont="1" applyFill="1" applyBorder="1" applyAlignment="1" applyProtection="1">
      <alignment vertical="center"/>
      <protection locked="0"/>
    </xf>
    <xf numFmtId="10" fontId="14" fillId="6" borderId="2" xfId="6" applyNumberFormat="1" applyFont="1" applyFill="1" applyBorder="1" applyAlignment="1" applyProtection="1">
      <alignment vertical="center"/>
      <protection locked="0"/>
    </xf>
    <xf numFmtId="171" fontId="14" fillId="6" borderId="2" xfId="0" applyNumberFormat="1" applyFont="1" applyFill="1" applyBorder="1" applyAlignment="1" applyProtection="1">
      <alignment vertical="center"/>
      <protection locked="0"/>
    </xf>
    <xf numFmtId="171" fontId="5" fillId="6" borderId="2" xfId="0" applyNumberFormat="1" applyFont="1" applyFill="1" applyBorder="1" applyAlignment="1" applyProtection="1">
      <alignment vertical="center"/>
      <protection locked="0"/>
    </xf>
    <xf numFmtId="8" fontId="5" fillId="0" borderId="0" xfId="0" applyNumberFormat="1" applyFont="1" applyFill="1" applyProtection="1"/>
    <xf numFmtId="0" fontId="6" fillId="2" borderId="3" xfId="0" applyFont="1" applyFill="1" applyBorder="1" applyAlignment="1" applyProtection="1">
      <alignment horizontal="left"/>
      <protection locked="0"/>
    </xf>
    <xf numFmtId="0" fontId="6" fillId="2" borderId="7" xfId="0" applyFont="1" applyFill="1" applyBorder="1" applyAlignment="1" applyProtection="1">
      <alignment horizontal="center"/>
      <protection locked="0"/>
    </xf>
    <xf numFmtId="3" fontId="6" fillId="2" borderId="2" xfId="6" applyNumberFormat="1" applyFont="1" applyFill="1" applyBorder="1" applyAlignment="1" applyProtection="1">
      <alignment horizontal="right" vertical="center"/>
      <protection locked="0"/>
    </xf>
    <xf numFmtId="40" fontId="22" fillId="0" borderId="0" xfId="1" applyNumberFormat="1" applyFont="1" applyFill="1" applyBorder="1" applyProtection="1">
      <protection locked="0"/>
    </xf>
    <xf numFmtId="40" fontId="5" fillId="0" borderId="0" xfId="1" applyNumberFormat="1" applyFont="1" applyFill="1" applyProtection="1">
      <protection locked="0"/>
    </xf>
    <xf numFmtId="40" fontId="5" fillId="0" borderId="0" xfId="1" applyNumberFormat="1" applyFont="1" applyFill="1" applyBorder="1" applyAlignment="1" applyProtection="1">
      <alignment horizontal="right"/>
      <protection locked="0"/>
    </xf>
    <xf numFmtId="40" fontId="22" fillId="0" borderId="0" xfId="1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5" fillId="3" borderId="0" xfId="0" applyFont="1" applyFill="1" applyBorder="1" applyProtection="1">
      <protection locked="0"/>
    </xf>
    <xf numFmtId="9" fontId="5" fillId="2" borderId="18" xfId="6" applyFont="1" applyFill="1" applyBorder="1" applyAlignment="1" applyProtection="1">
      <alignment horizontal="right" vertical="center"/>
    </xf>
    <xf numFmtId="0" fontId="15" fillId="0" borderId="0" xfId="0" applyFont="1" applyFill="1" applyProtection="1"/>
    <xf numFmtId="0" fontId="6" fillId="0" borderId="2" xfId="0" applyFont="1" applyFill="1" applyBorder="1" applyProtection="1"/>
    <xf numFmtId="0" fontId="5" fillId="0" borderId="2" xfId="0" applyFont="1" applyFill="1" applyBorder="1" applyProtection="1"/>
    <xf numFmtId="0" fontId="6" fillId="2" borderId="4" xfId="0" applyFont="1" applyFill="1" applyBorder="1" applyAlignment="1" applyProtection="1">
      <alignment horizontal="center"/>
    </xf>
    <xf numFmtId="3" fontId="5" fillId="0" borderId="2" xfId="0" applyNumberFormat="1" applyFont="1" applyFill="1" applyBorder="1" applyProtection="1"/>
    <xf numFmtId="10" fontId="5" fillId="0" borderId="2" xfId="0" applyNumberFormat="1" applyFont="1" applyFill="1" applyBorder="1" applyProtection="1"/>
    <xf numFmtId="0" fontId="6" fillId="2" borderId="11" xfId="0" applyFont="1" applyFill="1" applyBorder="1" applyAlignment="1" applyProtection="1">
      <alignment horizontal="left"/>
    </xf>
    <xf numFmtId="0" fontId="6" fillId="3" borderId="22" xfId="0" applyFont="1" applyFill="1" applyBorder="1" applyProtection="1"/>
    <xf numFmtId="0" fontId="5" fillId="3" borderId="22" xfId="0" applyFont="1" applyFill="1" applyBorder="1" applyAlignment="1" applyProtection="1">
      <alignment horizontal="left" indent="1"/>
    </xf>
    <xf numFmtId="0" fontId="5" fillId="3" borderId="23" xfId="0" applyFont="1" applyFill="1" applyBorder="1" applyProtection="1"/>
    <xf numFmtId="3" fontId="6" fillId="3" borderId="1" xfId="0" applyNumberFormat="1" applyFont="1" applyFill="1" applyBorder="1" applyProtection="1"/>
    <xf numFmtId="4" fontId="5" fillId="3" borderId="1" xfId="0" applyNumberFormat="1" applyFont="1" applyFill="1" applyBorder="1" applyProtection="1"/>
    <xf numFmtId="0" fontId="6" fillId="2" borderId="2" xfId="0" applyFont="1" applyFill="1" applyBorder="1" applyAlignment="1" applyProtection="1">
      <alignment horizontal="right"/>
    </xf>
    <xf numFmtId="38" fontId="5" fillId="2" borderId="2" xfId="0" applyNumberFormat="1" applyFont="1" applyFill="1" applyBorder="1" applyAlignment="1" applyProtection="1">
      <alignment horizontal="right"/>
    </xf>
    <xf numFmtId="3" fontId="6" fillId="2" borderId="5" xfId="0" applyNumberFormat="1" applyFont="1" applyFill="1" applyBorder="1" applyAlignment="1" applyProtection="1">
      <alignment horizontal="right"/>
    </xf>
    <xf numFmtId="0" fontId="5" fillId="2" borderId="3" xfId="4" applyFont="1" applyFill="1" applyBorder="1" applyAlignment="1" applyProtection="1">
      <alignment horizontal="left" indent="1"/>
    </xf>
    <xf numFmtId="38" fontId="5" fillId="2" borderId="2" xfId="0" applyNumberFormat="1" applyFont="1" applyFill="1" applyBorder="1" applyAlignment="1" applyProtection="1">
      <alignment horizontal="left" indent="1"/>
    </xf>
    <xf numFmtId="38" fontId="5" fillId="2" borderId="2" xfId="0" applyNumberFormat="1" applyFont="1" applyFill="1" applyBorder="1" applyAlignment="1" applyProtection="1">
      <alignment horizontal="left"/>
    </xf>
    <xf numFmtId="3" fontId="33" fillId="2" borderId="2" xfId="4" applyNumberFormat="1" applyFont="1" applyFill="1" applyBorder="1" applyAlignment="1" applyProtection="1">
      <alignment horizontal="right"/>
    </xf>
    <xf numFmtId="3" fontId="30" fillId="2" borderId="2" xfId="4" applyNumberFormat="1" applyFont="1" applyFill="1" applyBorder="1" applyAlignment="1" applyProtection="1">
      <alignment horizontal="right"/>
    </xf>
    <xf numFmtId="3" fontId="33" fillId="2" borderId="2" xfId="4" applyNumberFormat="1" applyFont="1" applyFill="1" applyBorder="1" applyProtection="1"/>
    <xf numFmtId="3" fontId="6" fillId="2" borderId="2" xfId="4" applyNumberFormat="1" applyFont="1" applyFill="1" applyBorder="1" applyAlignment="1" applyProtection="1">
      <alignment horizontal="right"/>
    </xf>
    <xf numFmtId="3" fontId="33" fillId="2" borderId="2" xfId="4" applyNumberFormat="1" applyFont="1" applyFill="1" applyBorder="1" applyAlignment="1" applyProtection="1">
      <alignment horizontal="center"/>
    </xf>
    <xf numFmtId="3" fontId="33" fillId="2" borderId="2" xfId="4" applyNumberFormat="1" applyFont="1" applyFill="1" applyBorder="1" applyAlignment="1" applyProtection="1"/>
    <xf numFmtId="0" fontId="6" fillId="2" borderId="14" xfId="4" applyFont="1" applyFill="1" applyBorder="1" applyProtection="1"/>
    <xf numFmtId="0" fontId="5" fillId="2" borderId="17" xfId="4" applyFont="1" applyFill="1" applyBorder="1" applyProtection="1"/>
    <xf numFmtId="168" fontId="34" fillId="2" borderId="2" xfId="4" applyNumberFormat="1" applyFont="1" applyFill="1" applyBorder="1" applyProtection="1"/>
    <xf numFmtId="0" fontId="5" fillId="2" borderId="16" xfId="4" applyFont="1" applyFill="1" applyBorder="1" applyProtection="1"/>
    <xf numFmtId="10" fontId="5" fillId="2" borderId="15" xfId="7" applyNumberFormat="1" applyFont="1" applyFill="1" applyBorder="1" applyProtection="1"/>
    <xf numFmtId="168" fontId="5" fillId="2" borderId="15" xfId="4" applyNumberFormat="1" applyFont="1" applyFill="1" applyBorder="1" applyProtection="1"/>
    <xf numFmtId="0" fontId="5" fillId="2" borderId="16" xfId="4" applyFont="1" applyFill="1" applyBorder="1" applyAlignment="1" applyProtection="1">
      <alignment horizontal="left" indent="2"/>
    </xf>
    <xf numFmtId="168" fontId="5" fillId="2" borderId="24" xfId="4" applyNumberFormat="1" applyFont="1" applyFill="1" applyBorder="1" applyProtection="1"/>
    <xf numFmtId="10" fontId="5" fillId="2" borderId="21" xfId="7" applyNumberFormat="1" applyFont="1" applyFill="1" applyBorder="1" applyProtection="1"/>
    <xf numFmtId="168" fontId="6" fillId="2" borderId="2" xfId="4" applyNumberFormat="1" applyFont="1" applyFill="1" applyBorder="1" applyAlignment="1" applyProtection="1"/>
    <xf numFmtId="0" fontId="6" fillId="2" borderId="16" xfId="4" applyFont="1" applyFill="1" applyBorder="1" applyProtection="1"/>
    <xf numFmtId="0" fontId="6" fillId="2" borderId="6" xfId="4" applyFont="1" applyFill="1" applyBorder="1" applyProtection="1"/>
    <xf numFmtId="168" fontId="6" fillId="0" borderId="0" xfId="4" applyNumberFormat="1" applyFont="1" applyFill="1" applyBorder="1" applyAlignment="1" applyProtection="1"/>
    <xf numFmtId="168" fontId="5" fillId="2" borderId="4" xfId="4" applyNumberFormat="1" applyFont="1" applyFill="1" applyBorder="1" applyProtection="1"/>
    <xf numFmtId="3" fontId="5" fillId="2" borderId="2" xfId="4" applyNumberFormat="1" applyFont="1" applyFill="1" applyBorder="1" applyAlignment="1" applyProtection="1"/>
    <xf numFmtId="0" fontId="5" fillId="2" borderId="6" xfId="0" applyFont="1" applyFill="1" applyBorder="1" applyAlignment="1" applyProtection="1">
      <alignment horizontal="left" indent="1"/>
    </xf>
    <xf numFmtId="168" fontId="5" fillId="2" borderId="4" xfId="0" applyNumberFormat="1" applyFont="1" applyFill="1" applyBorder="1" applyProtection="1"/>
    <xf numFmtId="0" fontId="9" fillId="5" borderId="0" xfId="0" applyFont="1" applyFill="1" applyBorder="1" applyAlignment="1" applyProtection="1">
      <alignment horizontal="right"/>
    </xf>
    <xf numFmtId="0" fontId="11" fillId="0" borderId="0" xfId="0" applyFont="1" applyFill="1" applyProtection="1"/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protection locked="0"/>
    </xf>
    <xf numFmtId="1" fontId="5" fillId="0" borderId="2" xfId="0" applyNumberFormat="1" applyFont="1" applyFill="1" applyBorder="1" applyAlignment="1" applyProtection="1">
      <alignment horizontal="right" vertical="center"/>
      <protection locked="0"/>
    </xf>
    <xf numFmtId="0" fontId="6" fillId="0" borderId="3" xfId="0" applyFont="1" applyFill="1" applyBorder="1" applyProtection="1">
      <protection locked="0"/>
    </xf>
    <xf numFmtId="0" fontId="5" fillId="0" borderId="3" xfId="0" applyFont="1" applyFill="1" applyBorder="1" applyAlignment="1" applyProtection="1">
      <alignment horizontal="left" indent="1"/>
      <protection locked="0"/>
    </xf>
    <xf numFmtId="3" fontId="6" fillId="0" borderId="2" xfId="0" applyNumberFormat="1" applyFont="1" applyFill="1" applyBorder="1" applyAlignment="1" applyProtection="1">
      <protection locked="0"/>
    </xf>
    <xf numFmtId="38" fontId="5" fillId="0" borderId="2" xfId="0" applyNumberFormat="1" applyFont="1" applyFill="1" applyBorder="1" applyAlignment="1" applyProtection="1">
      <alignment horizontal="center"/>
      <protection locked="0"/>
    </xf>
    <xf numFmtId="38" fontId="5" fillId="0" borderId="2" xfId="0" applyNumberFormat="1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3" fontId="5" fillId="0" borderId="0" xfId="0" applyNumberFormat="1" applyFont="1" applyFill="1" applyBorder="1" applyAlignment="1" applyProtection="1">
      <alignment horizontal="right" vertical="center"/>
    </xf>
    <xf numFmtId="3" fontId="5" fillId="0" borderId="7" xfId="0" applyNumberFormat="1" applyFont="1" applyFill="1" applyBorder="1" applyAlignment="1" applyProtection="1">
      <alignment horizontal="right" vertical="center"/>
      <protection locked="0"/>
    </xf>
    <xf numFmtId="1" fontId="6" fillId="0" borderId="2" xfId="0" applyNumberFormat="1" applyFont="1" applyFill="1" applyBorder="1" applyAlignment="1" applyProtection="1">
      <alignment horizontal="center"/>
    </xf>
    <xf numFmtId="3" fontId="5" fillId="0" borderId="0" xfId="0" applyNumberFormat="1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 applyProtection="1">
      <alignment horizontal="right"/>
    </xf>
    <xf numFmtId="4" fontId="5" fillId="2" borderId="2" xfId="0" applyNumberFormat="1" applyFont="1" applyFill="1" applyBorder="1" applyAlignment="1" applyProtection="1">
      <alignment horizontal="right" vertical="center"/>
    </xf>
    <xf numFmtId="0" fontId="6" fillId="2" borderId="25" xfId="0" applyFont="1" applyFill="1" applyBorder="1" applyAlignment="1" applyProtection="1">
      <alignment horizontal="center"/>
    </xf>
    <xf numFmtId="0" fontId="6" fillId="2" borderId="26" xfId="0" applyFont="1" applyFill="1" applyBorder="1" applyAlignment="1" applyProtection="1">
      <alignment horizontal="center"/>
    </xf>
    <xf numFmtId="9" fontId="5" fillId="2" borderId="27" xfId="6" applyFont="1" applyFill="1" applyBorder="1" applyAlignment="1" applyProtection="1">
      <alignment horizontal="right" vertical="center"/>
    </xf>
    <xf numFmtId="4" fontId="5" fillId="2" borderId="27" xfId="0" applyNumberFormat="1" applyFont="1" applyFill="1" applyBorder="1" applyAlignment="1" applyProtection="1">
      <alignment horizontal="right" vertical="center"/>
    </xf>
    <xf numFmtId="0" fontId="6" fillId="2" borderId="28" xfId="0" applyFont="1" applyFill="1" applyBorder="1" applyAlignment="1" applyProtection="1">
      <alignment horizontal="center"/>
    </xf>
    <xf numFmtId="9" fontId="5" fillId="2" borderId="29" xfId="6" applyFont="1" applyFill="1" applyBorder="1" applyAlignment="1" applyProtection="1">
      <alignment horizontal="right" vertical="center"/>
    </xf>
    <xf numFmtId="0" fontId="5" fillId="2" borderId="30" xfId="0" applyFont="1" applyFill="1" applyBorder="1" applyAlignment="1" applyProtection="1">
      <alignment horizontal="left"/>
    </xf>
    <xf numFmtId="168" fontId="6" fillId="2" borderId="18" xfId="0" applyNumberFormat="1" applyFont="1" applyFill="1" applyBorder="1" applyAlignment="1" applyProtection="1">
      <alignment vertical="center"/>
    </xf>
    <xf numFmtId="0" fontId="5" fillId="0" borderId="0" xfId="0" applyFont="1" applyFill="1" applyAlignment="1" applyProtection="1"/>
    <xf numFmtId="0" fontId="6" fillId="2" borderId="2" xfId="0" applyNumberFormat="1" applyFont="1" applyFill="1" applyBorder="1" applyAlignment="1" applyProtection="1">
      <alignment horizontal="center"/>
    </xf>
    <xf numFmtId="4" fontId="5" fillId="0" borderId="0" xfId="0" applyNumberFormat="1" applyFont="1" applyFill="1" applyProtection="1"/>
    <xf numFmtId="4" fontId="6" fillId="2" borderId="18" xfId="0" applyNumberFormat="1" applyFont="1" applyFill="1" applyBorder="1" applyAlignment="1" applyProtection="1">
      <alignment vertical="center"/>
    </xf>
    <xf numFmtId="4" fontId="5" fillId="2" borderId="5" xfId="0" applyNumberFormat="1" applyFont="1" applyFill="1" applyBorder="1" applyAlignment="1" applyProtection="1">
      <alignment vertical="center"/>
    </xf>
    <xf numFmtId="4" fontId="6" fillId="2" borderId="5" xfId="0" applyNumberFormat="1" applyFont="1" applyFill="1" applyBorder="1" applyAlignment="1" applyProtection="1">
      <alignment vertical="center"/>
    </xf>
    <xf numFmtId="0" fontId="6" fillId="2" borderId="9" xfId="0" applyFont="1" applyFill="1" applyBorder="1" applyAlignment="1" applyProtection="1">
      <alignment horizontal="left"/>
    </xf>
    <xf numFmtId="0" fontId="6" fillId="2" borderId="14" xfId="0" applyFont="1" applyFill="1" applyBorder="1" applyProtection="1"/>
    <xf numFmtId="171" fontId="5" fillId="6" borderId="2" xfId="0" applyNumberFormat="1" applyFont="1" applyFill="1" applyBorder="1" applyAlignment="1" applyProtection="1">
      <alignment horizontal="right"/>
    </xf>
    <xf numFmtId="171" fontId="6" fillId="6" borderId="2" xfId="0" applyNumberFormat="1" applyFont="1" applyFill="1" applyBorder="1" applyAlignment="1" applyProtection="1">
      <alignment horizontal="right"/>
    </xf>
    <xf numFmtId="0" fontId="6" fillId="2" borderId="2" xfId="0" applyFont="1" applyFill="1" applyBorder="1" applyAlignment="1" applyProtection="1">
      <alignment horizontal="right" vertical="center" wrapText="1"/>
    </xf>
    <xf numFmtId="168" fontId="6" fillId="2" borderId="2" xfId="0" applyNumberFormat="1" applyFont="1" applyFill="1" applyBorder="1" applyAlignment="1" applyProtection="1">
      <alignment horizontal="right" vertical="center"/>
    </xf>
    <xf numFmtId="168" fontId="5" fillId="0" borderId="2" xfId="0" applyNumberFormat="1" applyFont="1" applyFill="1" applyBorder="1" applyAlignment="1" applyProtection="1">
      <alignment horizontal="right" vertical="center"/>
      <protection locked="0"/>
    </xf>
    <xf numFmtId="168" fontId="6" fillId="2" borderId="5" xfId="0" applyNumberFormat="1" applyFont="1" applyFill="1" applyBorder="1" applyAlignment="1" applyProtection="1">
      <alignment horizontal="right"/>
    </xf>
    <xf numFmtId="38" fontId="5" fillId="2" borderId="3" xfId="0" applyNumberFormat="1" applyFont="1" applyFill="1" applyBorder="1" applyAlignment="1" applyProtection="1">
      <alignment horizontal="left" indent="1"/>
    </xf>
    <xf numFmtId="3" fontId="14" fillId="0" borderId="2" xfId="6" applyNumberFormat="1" applyFont="1" applyFill="1" applyBorder="1" applyAlignment="1" applyProtection="1">
      <alignment horizontal="center"/>
      <protection locked="0"/>
    </xf>
    <xf numFmtId="0" fontId="5" fillId="2" borderId="3" xfId="4" applyFont="1" applyFill="1" applyBorder="1" applyAlignment="1" applyProtection="1">
      <alignment horizontal="left"/>
    </xf>
    <xf numFmtId="1" fontId="5" fillId="2" borderId="2" xfId="6" applyNumberFormat="1" applyFont="1" applyFill="1" applyBorder="1" applyProtection="1"/>
    <xf numFmtId="0" fontId="6" fillId="3" borderId="31" xfId="0" applyFont="1" applyFill="1" applyBorder="1" applyAlignment="1" applyProtection="1">
      <alignment horizontal="center"/>
    </xf>
    <xf numFmtId="3" fontId="5" fillId="3" borderId="31" xfId="0" applyNumberFormat="1" applyFont="1" applyFill="1" applyBorder="1" applyAlignment="1" applyProtection="1">
      <alignment horizontal="center"/>
    </xf>
    <xf numFmtId="0" fontId="5" fillId="3" borderId="31" xfId="0" applyFont="1" applyFill="1" applyBorder="1" applyAlignment="1" applyProtection="1">
      <alignment horizontal="center"/>
    </xf>
    <xf numFmtId="172" fontId="5" fillId="3" borderId="31" xfId="0" applyNumberFormat="1" applyFont="1" applyFill="1" applyBorder="1" applyAlignment="1" applyProtection="1">
      <alignment horizontal="center"/>
    </xf>
    <xf numFmtId="170" fontId="5" fillId="3" borderId="31" xfId="0" applyNumberFormat="1" applyFont="1" applyFill="1" applyBorder="1" applyAlignment="1" applyProtection="1">
      <alignment horizontal="center"/>
    </xf>
    <xf numFmtId="0" fontId="43" fillId="7" borderId="0" xfId="0" applyFont="1" applyFill="1" applyBorder="1" applyProtection="1"/>
    <xf numFmtId="0" fontId="6" fillId="3" borderId="0" xfId="0" applyFont="1" applyFill="1" applyBorder="1" applyProtection="1">
      <protection locked="0"/>
    </xf>
    <xf numFmtId="1" fontId="5" fillId="3" borderId="31" xfId="0" applyNumberFormat="1" applyFont="1" applyFill="1" applyBorder="1" applyAlignment="1" applyProtection="1">
      <alignment horizontal="center"/>
    </xf>
    <xf numFmtId="174" fontId="44" fillId="0" borderId="31" xfId="0" applyNumberFormat="1" applyFont="1" applyFill="1" applyBorder="1" applyProtection="1"/>
    <xf numFmtId="174" fontId="45" fillId="0" borderId="31" xfId="0" applyNumberFormat="1" applyFont="1" applyFill="1" applyBorder="1" applyProtection="1"/>
    <xf numFmtId="0" fontId="43" fillId="0" borderId="0" xfId="0" applyFont="1" applyFill="1" applyProtection="1"/>
    <xf numFmtId="4" fontId="5" fillId="2" borderId="2" xfId="0" applyNumberFormat="1" applyFont="1" applyFill="1" applyBorder="1" applyAlignment="1" applyProtection="1">
      <alignment vertical="center" wrapText="1"/>
    </xf>
    <xf numFmtId="3" fontId="6" fillId="2" borderId="2" xfId="6" applyNumberFormat="1" applyFont="1" applyFill="1" applyBorder="1" applyAlignment="1" applyProtection="1">
      <alignment horizontal="center" vertical="center"/>
    </xf>
    <xf numFmtId="166" fontId="14" fillId="2" borderId="4" xfId="0" applyNumberFormat="1" applyFont="1" applyFill="1" applyBorder="1" applyAlignment="1" applyProtection="1">
      <alignment horizontal="center" vertical="center"/>
      <protection locked="0"/>
    </xf>
    <xf numFmtId="169" fontId="5" fillId="2" borderId="2" xfId="0" quotePrefix="1" applyNumberFormat="1" applyFont="1" applyFill="1" applyBorder="1" applyAlignment="1" applyProtection="1">
      <alignment horizontal="center"/>
    </xf>
    <xf numFmtId="169" fontId="6" fillId="2" borderId="2" xfId="0" quotePrefix="1" applyNumberFormat="1" applyFont="1" applyFill="1" applyBorder="1" applyAlignment="1" applyProtection="1">
      <alignment horizontal="center"/>
    </xf>
    <xf numFmtId="9" fontId="43" fillId="0" borderId="0" xfId="6" applyFont="1" applyFill="1" applyProtection="1">
      <protection hidden="1"/>
    </xf>
    <xf numFmtId="172" fontId="14" fillId="0" borderId="7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</xf>
    <xf numFmtId="3" fontId="6" fillId="8" borderId="2" xfId="6" applyNumberFormat="1" applyFont="1" applyFill="1" applyBorder="1" applyAlignment="1" applyProtection="1">
      <alignment horizontal="center" vertical="center"/>
      <protection locked="0"/>
    </xf>
    <xf numFmtId="10" fontId="6" fillId="8" borderId="2" xfId="6" applyNumberFormat="1" applyFont="1" applyFill="1" applyBorder="1" applyAlignment="1" applyProtection="1">
      <alignment horizontal="center" vertical="center"/>
    </xf>
    <xf numFmtId="3" fontId="6" fillId="8" borderId="2" xfId="6" applyNumberFormat="1" applyFont="1" applyFill="1" applyBorder="1" applyAlignment="1" applyProtection="1">
      <alignment horizontal="center" vertical="center"/>
    </xf>
    <xf numFmtId="0" fontId="5" fillId="9" borderId="0" xfId="0" applyFont="1" applyFill="1" applyProtection="1"/>
    <xf numFmtId="0" fontId="5" fillId="3" borderId="0" xfId="0" applyFont="1" applyFill="1" applyBorder="1" applyAlignment="1" applyProtection="1">
      <alignment horizontal="center"/>
      <protection locked="0"/>
    </xf>
    <xf numFmtId="3" fontId="5" fillId="8" borderId="2" xfId="6" applyNumberFormat="1" applyFont="1" applyFill="1" applyBorder="1" applyAlignment="1" applyProtection="1">
      <alignment horizontal="right" vertical="center"/>
      <protection locked="0"/>
    </xf>
    <xf numFmtId="3" fontId="5" fillId="8" borderId="2" xfId="0" applyNumberFormat="1" applyFont="1" applyFill="1" applyBorder="1" applyAlignment="1" applyProtection="1">
      <alignment horizontal="right" vertical="center"/>
    </xf>
    <xf numFmtId="3" fontId="5" fillId="10" borderId="2" xfId="0" applyNumberFormat="1" applyFont="1" applyFill="1" applyBorder="1" applyAlignment="1" applyProtection="1">
      <alignment horizontal="right" vertical="center"/>
      <protection locked="0"/>
    </xf>
    <xf numFmtId="3" fontId="5" fillId="0" borderId="20" xfId="6" applyNumberFormat="1" applyFont="1" applyFill="1" applyBorder="1" applyAlignment="1" applyProtection="1">
      <alignment horizontal="right" vertical="center"/>
      <protection locked="0"/>
    </xf>
    <xf numFmtId="3" fontId="6" fillId="11" borderId="2" xfId="6" applyNumberFormat="1" applyFont="1" applyFill="1" applyBorder="1" applyAlignment="1" applyProtection="1">
      <alignment horizontal="right" vertical="center"/>
      <protection locked="0"/>
    </xf>
    <xf numFmtId="10" fontId="5" fillId="12" borderId="2" xfId="0" applyNumberFormat="1" applyFont="1" applyFill="1" applyBorder="1" applyAlignment="1" applyProtection="1">
      <alignment vertical="center" wrapText="1"/>
    </xf>
    <xf numFmtId="10" fontId="5" fillId="12" borderId="2" xfId="0" applyNumberFormat="1" applyFont="1" applyFill="1" applyBorder="1" applyAlignment="1" applyProtection="1">
      <alignment vertical="center" wrapText="1"/>
      <protection locked="0"/>
    </xf>
    <xf numFmtId="0" fontId="46" fillId="12" borderId="0" xfId="0" applyFont="1" applyFill="1" applyBorder="1" applyProtection="1"/>
    <xf numFmtId="3" fontId="6" fillId="11" borderId="31" xfId="6" applyNumberFormat="1" applyFont="1" applyFill="1" applyBorder="1" applyAlignment="1" applyProtection="1">
      <alignment horizontal="center" vertical="center"/>
    </xf>
    <xf numFmtId="0" fontId="14" fillId="0" borderId="7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14" fillId="0" borderId="7" xfId="0" applyFont="1" applyFill="1" applyBorder="1" applyAlignment="1" applyProtection="1">
      <alignment horizontal="center"/>
      <protection locked="0"/>
    </xf>
    <xf numFmtId="0" fontId="14" fillId="0" borderId="2" xfId="0" applyFont="1" applyFill="1" applyBorder="1" applyAlignment="1" applyProtection="1">
      <alignment horizontal="center"/>
      <protection locked="0"/>
    </xf>
    <xf numFmtId="10" fontId="14" fillId="0" borderId="2" xfId="0" applyNumberFormat="1" applyFont="1" applyFill="1" applyBorder="1" applyAlignment="1" applyProtection="1">
      <alignment horizontal="center"/>
      <protection locked="0"/>
    </xf>
    <xf numFmtId="10" fontId="14" fillId="11" borderId="2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hidden="1"/>
    </xf>
    <xf numFmtId="10" fontId="14" fillId="0" borderId="3" xfId="0" applyNumberFormat="1" applyFont="1" applyFill="1" applyBorder="1" applyAlignment="1" applyProtection="1">
      <alignment horizontal="center"/>
      <protection locked="0"/>
    </xf>
    <xf numFmtId="2" fontId="14" fillId="0" borderId="3" xfId="0" applyNumberFormat="1" applyFont="1" applyFill="1" applyBorder="1" applyAlignment="1" applyProtection="1">
      <alignment horizontal="center"/>
      <protection locked="0"/>
    </xf>
    <xf numFmtId="167" fontId="14" fillId="11" borderId="5" xfId="6" applyNumberFormat="1" applyFont="1" applyFill="1" applyBorder="1" applyAlignment="1" applyProtection="1">
      <alignment horizontal="center" vertical="center"/>
    </xf>
    <xf numFmtId="167" fontId="47" fillId="11" borderId="5" xfId="6" applyNumberFormat="1" applyFont="1" applyFill="1" applyBorder="1" applyAlignment="1" applyProtection="1">
      <alignment horizontal="center" vertical="center"/>
      <protection locked="0"/>
    </xf>
    <xf numFmtId="170" fontId="14" fillId="0" borderId="2" xfId="0" applyNumberFormat="1" applyFont="1" applyFill="1" applyBorder="1" applyProtection="1">
      <protection locked="0"/>
    </xf>
    <xf numFmtId="170" fontId="14" fillId="2" borderId="2" xfId="6" applyNumberFormat="1" applyFont="1" applyFill="1" applyBorder="1" applyAlignment="1" applyProtection="1">
      <alignment horizontal="center" vertical="center"/>
    </xf>
    <xf numFmtId="170" fontId="14" fillId="2" borderId="2" xfId="6" applyNumberFormat="1" applyFont="1" applyFill="1" applyBorder="1" applyAlignment="1" applyProtection="1">
      <alignment horizontal="center" vertical="center"/>
      <protection locked="0"/>
    </xf>
    <xf numFmtId="170" fontId="6" fillId="2" borderId="5" xfId="0" applyNumberFormat="1" applyFont="1" applyFill="1" applyBorder="1" applyAlignment="1" applyProtection="1"/>
    <xf numFmtId="167" fontId="14" fillId="2" borderId="2" xfId="6" applyNumberFormat="1" applyFont="1" applyFill="1" applyBorder="1" applyAlignment="1" applyProtection="1">
      <alignment horizontal="center" vertical="center"/>
    </xf>
    <xf numFmtId="167" fontId="14" fillId="0" borderId="2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167" fontId="14" fillId="2" borderId="2" xfId="0" applyNumberFormat="1" applyFont="1" applyFill="1" applyBorder="1" applyAlignment="1" applyProtection="1">
      <alignment horizontal="center"/>
    </xf>
    <xf numFmtId="10" fontId="14" fillId="11" borderId="2" xfId="6" applyNumberFormat="1" applyFont="1" applyFill="1" applyBorder="1" applyAlignment="1" applyProtection="1">
      <alignment horizontal="center"/>
      <protection locked="0"/>
    </xf>
    <xf numFmtId="4" fontId="14" fillId="11" borderId="2" xfId="6" applyNumberFormat="1" applyFont="1" applyFill="1" applyBorder="1" applyAlignment="1" applyProtection="1">
      <alignment horizontal="center"/>
      <protection locked="0"/>
    </xf>
    <xf numFmtId="0" fontId="5" fillId="2" borderId="7" xfId="0" applyFont="1" applyFill="1" applyBorder="1" applyAlignment="1" applyProtection="1">
      <alignment horizontal="center"/>
    </xf>
    <xf numFmtId="0" fontId="5" fillId="2" borderId="18" xfId="0" applyFont="1" applyFill="1" applyBorder="1" applyAlignment="1" applyProtection="1">
      <alignment horizontal="center"/>
    </xf>
    <xf numFmtId="1" fontId="5" fillId="0" borderId="0" xfId="0" applyNumberFormat="1" applyFont="1" applyFill="1" applyBorder="1" applyAlignment="1" applyProtection="1">
      <alignment horizontal="center"/>
      <protection locked="0"/>
    </xf>
    <xf numFmtId="167" fontId="14" fillId="0" borderId="2" xfId="6" applyNumberFormat="1" applyFont="1" applyFill="1" applyBorder="1" applyAlignment="1" applyProtection="1">
      <alignment horizontal="center" vertical="center"/>
      <protection locked="0"/>
    </xf>
    <xf numFmtId="170" fontId="5" fillId="0" borderId="2" xfId="0" applyNumberFormat="1" applyFont="1" applyFill="1" applyBorder="1" applyProtection="1">
      <protection locked="0"/>
    </xf>
    <xf numFmtId="170" fontId="5" fillId="0" borderId="2" xfId="0" applyNumberFormat="1" applyFont="1" applyFill="1" applyBorder="1" applyAlignment="1" applyProtection="1">
      <alignment horizontal="right" vertical="center"/>
      <protection locked="0"/>
    </xf>
    <xf numFmtId="170" fontId="5" fillId="0" borderId="4" xfId="0" applyNumberFormat="1" applyFont="1" applyFill="1" applyBorder="1" applyAlignment="1" applyProtection="1">
      <alignment horizontal="right" vertical="center"/>
      <protection locked="0"/>
    </xf>
    <xf numFmtId="2" fontId="5" fillId="11" borderId="31" xfId="0" applyNumberFormat="1" applyFont="1" applyFill="1" applyBorder="1" applyAlignment="1" applyProtection="1">
      <alignment horizontal="center"/>
      <protection locked="0"/>
    </xf>
    <xf numFmtId="10" fontId="32" fillId="11" borderId="31" xfId="0" applyNumberFormat="1" applyFont="1" applyFill="1" applyBorder="1" applyAlignment="1" applyProtection="1">
      <alignment horizontal="center"/>
      <protection locked="0"/>
    </xf>
    <xf numFmtId="0" fontId="9" fillId="5" borderId="0" xfId="0" applyFont="1" applyFill="1" applyProtection="1"/>
    <xf numFmtId="3" fontId="5" fillId="8" borderId="15" xfId="6" applyNumberFormat="1" applyFont="1" applyFill="1" applyBorder="1" applyAlignment="1" applyProtection="1">
      <alignment horizontal="right" vertical="center"/>
    </xf>
    <xf numFmtId="9" fontId="5" fillId="0" borderId="0" xfId="6" applyFont="1" applyFill="1" applyAlignment="1" applyProtection="1">
      <alignment horizontal="center"/>
      <protection hidden="1"/>
    </xf>
    <xf numFmtId="1" fontId="14" fillId="0" borderId="7" xfId="0" applyNumberFormat="1" applyFont="1" applyFill="1" applyBorder="1" applyAlignment="1" applyProtection="1">
      <alignment horizontal="center"/>
      <protection hidden="1"/>
    </xf>
    <xf numFmtId="2" fontId="46" fillId="0" borderId="0" xfId="6" applyNumberFormat="1" applyFont="1" applyFill="1" applyProtection="1">
      <protection hidden="1"/>
    </xf>
    <xf numFmtId="0" fontId="14" fillId="13" borderId="2" xfId="0" applyFont="1" applyFill="1" applyBorder="1" applyAlignment="1" applyProtection="1">
      <alignment horizontal="center"/>
      <protection locked="0"/>
    </xf>
    <xf numFmtId="0" fontId="48" fillId="0" borderId="45" xfId="0" applyFont="1" applyBorder="1" applyAlignment="1">
      <alignment horizontal="center" wrapText="1"/>
    </xf>
    <xf numFmtId="0" fontId="49" fillId="7" borderId="0" xfId="0" applyFont="1" applyFill="1" applyAlignment="1">
      <alignment horizontal="center"/>
    </xf>
    <xf numFmtId="0" fontId="50" fillId="7" borderId="0" xfId="0" applyFont="1" applyFill="1" applyAlignment="1">
      <alignment horizontal="center" vertical="center" wrapText="1"/>
    </xf>
    <xf numFmtId="0" fontId="51" fillId="7" borderId="0" xfId="0" applyFont="1" applyFill="1" applyAlignment="1" applyProtection="1">
      <alignment horizontal="center" vertical="center" wrapText="1"/>
      <protection locked="0"/>
    </xf>
    <xf numFmtId="0" fontId="52" fillId="7" borderId="0" xfId="0" applyFont="1" applyFill="1" applyAlignment="1" applyProtection="1">
      <alignment horizontal="center" vertical="center" wrapText="1"/>
      <protection locked="0"/>
    </xf>
    <xf numFmtId="168" fontId="5" fillId="14" borderId="15" xfId="4" applyNumberFormat="1" applyFont="1" applyFill="1" applyBorder="1" applyProtection="1"/>
    <xf numFmtId="168" fontId="5" fillId="11" borderId="15" xfId="4" quotePrefix="1" applyNumberFormat="1" applyFont="1" applyFill="1" applyBorder="1" applyProtection="1"/>
    <xf numFmtId="168" fontId="5" fillId="11" borderId="15" xfId="4" applyNumberFormat="1" applyFont="1" applyFill="1" applyBorder="1" applyProtection="1"/>
    <xf numFmtId="168" fontId="5" fillId="11" borderId="32" xfId="4" quotePrefix="1" applyNumberFormat="1" applyFont="1" applyFill="1" applyBorder="1" applyProtection="1"/>
    <xf numFmtId="171" fontId="6" fillId="10" borderId="21" xfId="0" applyNumberFormat="1" applyFont="1" applyFill="1" applyBorder="1" applyAlignment="1" applyProtection="1">
      <alignment horizontal="right"/>
    </xf>
    <xf numFmtId="0" fontId="5" fillId="3" borderId="0" xfId="0" quotePrefix="1" applyFont="1" applyFill="1" applyProtection="1"/>
    <xf numFmtId="4" fontId="5" fillId="0" borderId="2" xfId="0" applyNumberFormat="1" applyFont="1" applyFill="1" applyBorder="1" applyAlignment="1" applyProtection="1">
      <alignment vertical="center"/>
      <protection locked="0"/>
    </xf>
    <xf numFmtId="166" fontId="14" fillId="11" borderId="4" xfId="0" applyNumberFormat="1" applyFont="1" applyFill="1" applyBorder="1" applyAlignment="1" applyProtection="1">
      <alignment horizontal="center" vertical="center"/>
      <protection locked="0"/>
    </xf>
    <xf numFmtId="10" fontId="14" fillId="11" borderId="2" xfId="6" applyNumberFormat="1" applyFont="1" applyFill="1" applyBorder="1" applyAlignment="1" applyProtection="1">
      <alignment horizontal="center" vertical="center"/>
      <protection locked="0"/>
    </xf>
    <xf numFmtId="10" fontId="22" fillId="0" borderId="2" xfId="6" applyNumberFormat="1" applyFont="1" applyFill="1" applyBorder="1" applyProtection="1">
      <protection locked="0"/>
    </xf>
    <xf numFmtId="10" fontId="22" fillId="2" borderId="2" xfId="6" applyNumberFormat="1" applyFont="1" applyFill="1" applyBorder="1" applyProtection="1"/>
    <xf numFmtId="175" fontId="22" fillId="0" borderId="2" xfId="6" applyNumberFormat="1" applyFont="1" applyFill="1" applyBorder="1" applyProtection="1">
      <protection locked="0"/>
    </xf>
    <xf numFmtId="168" fontId="30" fillId="0" borderId="0" xfId="4" applyNumberFormat="1" applyFont="1" applyFill="1" applyProtection="1"/>
    <xf numFmtId="168" fontId="9" fillId="2" borderId="4" xfId="4" applyNumberFormat="1" applyFont="1" applyFill="1" applyBorder="1" applyProtection="1"/>
    <xf numFmtId="168" fontId="9" fillId="2" borderId="15" xfId="4" applyNumberFormat="1" applyFont="1" applyFill="1" applyBorder="1" applyProtection="1"/>
    <xf numFmtId="2" fontId="5" fillId="0" borderId="2" xfId="0" applyNumberFormat="1" applyFont="1" applyFill="1" applyBorder="1" applyAlignment="1" applyProtection="1">
      <alignment horizontal="right" vertical="center"/>
      <protection locked="0"/>
    </xf>
    <xf numFmtId="171" fontId="55" fillId="6" borderId="2" xfId="0" applyNumberFormat="1" applyFont="1" applyFill="1" applyBorder="1" applyAlignment="1" applyProtection="1">
      <alignment vertical="center"/>
      <protection locked="0"/>
    </xf>
    <xf numFmtId="171" fontId="56" fillId="6" borderId="2" xfId="0" applyNumberFormat="1" applyFont="1" applyFill="1" applyBorder="1" applyAlignment="1" applyProtection="1">
      <alignment vertical="center"/>
      <protection locked="0"/>
    </xf>
    <xf numFmtId="172" fontId="5" fillId="0" borderId="2" xfId="0" applyNumberFormat="1" applyFont="1" applyFill="1" applyBorder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right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0" fontId="6" fillId="0" borderId="2" xfId="0" applyFont="1" applyBorder="1" applyAlignment="1">
      <alignment horizontal="center"/>
    </xf>
    <xf numFmtId="2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3" xfId="0" applyFont="1" applyFill="1" applyBorder="1" applyAlignment="1" applyProtection="1">
      <alignment horizontal="right"/>
      <protection locked="0"/>
    </xf>
    <xf numFmtId="172" fontId="5" fillId="0" borderId="2" xfId="0" applyNumberFormat="1" applyFont="1" applyBorder="1" applyAlignment="1" applyProtection="1">
      <alignment horizontal="right" vertical="center"/>
      <protection locked="0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76" fontId="5" fillId="0" borderId="2" xfId="0" applyNumberFormat="1" applyFont="1" applyBorder="1" applyAlignment="1" applyProtection="1">
      <alignment horizontal="right" vertical="center"/>
      <protection locked="0"/>
    </xf>
    <xf numFmtId="4" fontId="5" fillId="0" borderId="2" xfId="0" applyNumberFormat="1" applyFont="1" applyBorder="1" applyAlignment="1" applyProtection="1">
      <alignment horizontal="right" vertical="center"/>
      <protection locked="0"/>
    </xf>
    <xf numFmtId="177" fontId="5" fillId="0" borderId="2" xfId="0" applyNumberFormat="1" applyFont="1" applyBorder="1" applyAlignment="1" applyProtection="1">
      <alignment horizontal="right" vertical="center"/>
      <protection locked="0"/>
    </xf>
    <xf numFmtId="178" fontId="5" fillId="0" borderId="2" xfId="0" applyNumberFormat="1" applyFont="1" applyBorder="1" applyAlignment="1" applyProtection="1">
      <alignment horizontal="right" vertical="center"/>
      <protection locked="0"/>
    </xf>
    <xf numFmtId="4" fontId="5" fillId="0" borderId="2" xfId="0" applyNumberFormat="1" applyFont="1" applyFill="1" applyBorder="1" applyAlignment="1" applyProtection="1">
      <alignment horizontal="right" vertical="center"/>
      <protection locked="0"/>
    </xf>
    <xf numFmtId="177" fontId="5" fillId="0" borderId="2" xfId="0" applyNumberFormat="1" applyFont="1" applyFill="1" applyBorder="1" applyAlignment="1" applyProtection="1">
      <alignment horizontal="right" vertical="center"/>
      <protection locked="0"/>
    </xf>
    <xf numFmtId="4" fontId="5" fillId="0" borderId="2" xfId="0" applyNumberFormat="1" applyFont="1" applyBorder="1" applyAlignment="1" applyProtection="1">
      <alignment vertical="center"/>
      <protection locked="0"/>
    </xf>
    <xf numFmtId="170" fontId="14" fillId="0" borderId="2" xfId="0" applyNumberFormat="1" applyFont="1" applyBorder="1" applyProtection="1">
      <protection locked="0"/>
    </xf>
    <xf numFmtId="0" fontId="5" fillId="0" borderId="0" xfId="0" applyFont="1"/>
    <xf numFmtId="168" fontId="30" fillId="0" borderId="2" xfId="4" applyNumberFormat="1" applyFont="1" applyBorder="1" applyProtection="1">
      <protection locked="0"/>
    </xf>
    <xf numFmtId="169" fontId="5" fillId="0" borderId="2" xfId="0" applyNumberFormat="1" applyFont="1" applyFill="1" applyBorder="1" applyAlignment="1" applyProtection="1">
      <alignment horizontal="right" vertical="center"/>
      <protection locked="0"/>
    </xf>
    <xf numFmtId="0" fontId="6" fillId="0" borderId="0" xfId="0" applyFont="1" applyFill="1" applyAlignment="1" applyProtection="1">
      <alignment horizontal="right" wrapText="1"/>
    </xf>
    <xf numFmtId="0" fontId="6" fillId="0" borderId="0" xfId="0" applyFont="1" applyAlignment="1">
      <alignment horizontal="right" wrapText="1"/>
    </xf>
    <xf numFmtId="1" fontId="5" fillId="0" borderId="0" xfId="0" applyNumberFormat="1" applyFont="1" applyFill="1" applyProtection="1"/>
    <xf numFmtId="0" fontId="5" fillId="0" borderId="0" xfId="0" applyFont="1" applyFill="1" applyBorder="1" applyAlignment="1" applyProtection="1">
      <alignment horizontal="justify" vertical="center" wrapText="1"/>
      <protection hidden="1"/>
    </xf>
    <xf numFmtId="0" fontId="6" fillId="0" borderId="3" xfId="0" applyFont="1" applyFill="1" applyBorder="1" applyAlignment="1" applyProtection="1">
      <alignment horizontal="left"/>
      <protection locked="0"/>
    </xf>
    <xf numFmtId="0" fontId="11" fillId="2" borderId="5" xfId="0" applyFont="1" applyFill="1" applyBorder="1" applyAlignment="1" applyProtection="1">
      <alignment horizontal="center"/>
    </xf>
    <xf numFmtId="0" fontId="11" fillId="2" borderId="5" xfId="0" applyFont="1" applyFill="1" applyBorder="1" applyAlignment="1" applyProtection="1">
      <alignment horizontal="left"/>
    </xf>
    <xf numFmtId="0" fontId="11" fillId="2" borderId="7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6" fillId="2" borderId="9" xfId="0" applyFont="1" applyFill="1" applyBorder="1" applyAlignment="1" applyProtection="1">
      <alignment horizontal="center"/>
    </xf>
    <xf numFmtId="0" fontId="6" fillId="2" borderId="7" xfId="0" applyFont="1" applyFill="1" applyBorder="1" applyAlignment="1" applyProtection="1">
      <alignment horizontal="center"/>
    </xf>
    <xf numFmtId="0" fontId="6" fillId="2" borderId="11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3" fontId="6" fillId="0" borderId="7" xfId="0" applyNumberFormat="1" applyFont="1" applyFill="1" applyBorder="1" applyAlignment="1" applyProtection="1">
      <alignment horizontal="right" vertical="center"/>
      <protection locked="0"/>
    </xf>
    <xf numFmtId="0" fontId="53" fillId="0" borderId="0" xfId="3" applyFont="1" applyFill="1" applyAlignment="1" applyProtection="1">
      <alignment horizontal="right" vertical="top" wrapText="1"/>
      <protection hidden="1"/>
    </xf>
    <xf numFmtId="0" fontId="54" fillId="0" borderId="0" xfId="3" applyFont="1" applyFill="1" applyAlignment="1" applyProtection="1">
      <alignment horizontal="right" vertical="top" wrapText="1"/>
      <protection hidden="1"/>
    </xf>
    <xf numFmtId="0" fontId="23" fillId="0" borderId="0" xfId="3" applyFont="1" applyFill="1" applyBorder="1" applyAlignment="1" applyProtection="1">
      <alignment horizontal="left" wrapText="1"/>
      <protection hidden="1"/>
    </xf>
    <xf numFmtId="0" fontId="29" fillId="0" borderId="33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0" fontId="41" fillId="0" borderId="0" xfId="3" applyFont="1" applyFill="1" applyAlignment="1" applyProtection="1">
      <alignment horizontal="center" vertical="center" wrapText="1"/>
      <protection hidden="1"/>
    </xf>
    <xf numFmtId="9" fontId="43" fillId="15" borderId="16" xfId="6" applyFont="1" applyFill="1" applyBorder="1" applyAlignment="1" applyProtection="1">
      <alignment horizontal="justify"/>
      <protection hidden="1"/>
    </xf>
    <xf numFmtId="0" fontId="43" fillId="15" borderId="3" xfId="0" applyFont="1" applyFill="1" applyBorder="1" applyAlignment="1" applyProtection="1">
      <protection hidden="1"/>
    </xf>
    <xf numFmtId="0" fontId="43" fillId="15" borderId="9" xfId="0" applyFont="1" applyFill="1" applyBorder="1" applyAlignment="1" applyProtection="1">
      <protection hidden="1"/>
    </xf>
    <xf numFmtId="0" fontId="43" fillId="15" borderId="7" xfId="0" applyFont="1" applyFill="1" applyBorder="1" applyAlignment="1" applyProtection="1">
      <protection hidden="1"/>
    </xf>
    <xf numFmtId="0" fontId="5" fillId="0" borderId="0" xfId="0" applyFont="1" applyFill="1" applyBorder="1" applyAlignment="1" applyProtection="1">
      <alignment horizontal="justify" vertical="center" wrapText="1"/>
      <protection hidden="1"/>
    </xf>
    <xf numFmtId="0" fontId="29" fillId="0" borderId="33" xfId="0" applyFont="1" applyFill="1" applyBorder="1" applyAlignment="1" applyProtection="1">
      <alignment horizontal="center"/>
      <protection hidden="1"/>
    </xf>
    <xf numFmtId="0" fontId="28" fillId="0" borderId="0" xfId="0" applyFont="1" applyFill="1" applyAlignment="1" applyProtection="1">
      <alignment horizontal="center"/>
      <protection hidden="1"/>
    </xf>
    <xf numFmtId="0" fontId="43" fillId="15" borderId="6" xfId="0" applyFont="1" applyFill="1" applyBorder="1" applyAlignment="1" applyProtection="1">
      <alignment horizontal="justify"/>
      <protection hidden="1"/>
    </xf>
    <xf numFmtId="0" fontId="43" fillId="15" borderId="10" xfId="0" applyFont="1" applyFill="1" applyBorder="1" applyAlignment="1" applyProtection="1">
      <alignment horizontal="justify"/>
      <protection hidden="1"/>
    </xf>
    <xf numFmtId="0" fontId="43" fillId="15" borderId="11" xfId="0" applyFont="1" applyFill="1" applyBorder="1" applyAlignment="1" applyProtection="1">
      <alignment horizontal="justify"/>
      <protection hidden="1"/>
    </xf>
    <xf numFmtId="0" fontId="43" fillId="15" borderId="16" xfId="0" applyFont="1" applyFill="1" applyBorder="1" applyAlignment="1" applyProtection="1">
      <alignment horizontal="justify"/>
      <protection hidden="1"/>
    </xf>
    <xf numFmtId="0" fontId="43" fillId="15" borderId="0" xfId="0" applyFont="1" applyFill="1" applyBorder="1" applyAlignment="1" applyProtection="1">
      <alignment horizontal="justify"/>
      <protection hidden="1"/>
    </xf>
    <xf numFmtId="0" fontId="43" fillId="15" borderId="24" xfId="0" applyFont="1" applyFill="1" applyBorder="1" applyAlignment="1" applyProtection="1">
      <alignment horizontal="justify"/>
      <protection hidden="1"/>
    </xf>
    <xf numFmtId="0" fontId="43" fillId="15" borderId="14" xfId="0" applyFont="1" applyFill="1" applyBorder="1" applyAlignment="1" applyProtection="1">
      <alignment horizontal="justify"/>
      <protection hidden="1"/>
    </xf>
    <xf numFmtId="0" fontId="43" fillId="15" borderId="12" xfId="0" applyFont="1" applyFill="1" applyBorder="1" applyAlignment="1" applyProtection="1">
      <alignment horizontal="justify"/>
      <protection hidden="1"/>
    </xf>
    <xf numFmtId="0" fontId="43" fillId="15" borderId="17" xfId="0" applyFont="1" applyFill="1" applyBorder="1" applyAlignment="1" applyProtection="1">
      <alignment horizontal="justify"/>
      <protection hidden="1"/>
    </xf>
    <xf numFmtId="9" fontId="43" fillId="15" borderId="16" xfId="6" applyFont="1" applyFill="1" applyBorder="1" applyAlignment="1" applyProtection="1">
      <alignment vertical="center"/>
      <protection hidden="1"/>
    </xf>
    <xf numFmtId="9" fontId="43" fillId="15" borderId="16" xfId="6" applyFont="1" applyFill="1" applyBorder="1" applyAlignment="1" applyProtection="1">
      <alignment horizontal="justify" vertical="center"/>
      <protection hidden="1"/>
    </xf>
    <xf numFmtId="2" fontId="43" fillId="15" borderId="16" xfId="6" applyNumberFormat="1" applyFont="1" applyFill="1" applyBorder="1" applyAlignment="1" applyProtection="1">
      <alignment horizontal="justify"/>
      <protection hidden="1"/>
    </xf>
    <xf numFmtId="0" fontId="29" fillId="0" borderId="33" xfId="0" applyFont="1" applyFill="1" applyBorder="1" applyAlignment="1" applyProtection="1">
      <alignment horizontal="center"/>
    </xf>
    <xf numFmtId="0" fontId="11" fillId="2" borderId="8" xfId="0" applyFont="1" applyFill="1" applyBorder="1" applyAlignment="1" applyProtection="1">
      <alignment horizontal="center"/>
    </xf>
    <xf numFmtId="0" fontId="11" fillId="2" borderId="18" xfId="0" applyFont="1" applyFill="1" applyBorder="1" applyAlignment="1" applyProtection="1">
      <alignment horizontal="center"/>
    </xf>
    <xf numFmtId="0" fontId="11" fillId="2" borderId="3" xfId="0" applyFont="1" applyFill="1" applyBorder="1" applyAlignment="1" applyProtection="1">
      <alignment horizontal="center"/>
    </xf>
    <xf numFmtId="0" fontId="11" fillId="2" borderId="7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left"/>
      <protection locked="0"/>
    </xf>
    <xf numFmtId="0" fontId="6" fillId="0" borderId="7" xfId="0" applyFont="1" applyFill="1" applyBorder="1" applyAlignment="1" applyProtection="1">
      <alignment horizontal="left"/>
      <protection locked="0"/>
    </xf>
    <xf numFmtId="0" fontId="11" fillId="2" borderId="5" xfId="0" applyFont="1" applyFill="1" applyBorder="1" applyAlignment="1" applyProtection="1">
      <alignment horizontal="left"/>
    </xf>
    <xf numFmtId="0" fontId="11" fillId="2" borderId="2" xfId="0" applyFont="1" applyFill="1" applyBorder="1" applyAlignment="1" applyProtection="1">
      <alignment horizontal="center"/>
    </xf>
    <xf numFmtId="0" fontId="42" fillId="2" borderId="2" xfId="0" applyFont="1" applyFill="1" applyBorder="1" applyAlignment="1" applyProtection="1">
      <alignment horizontal="left"/>
    </xf>
    <xf numFmtId="0" fontId="11" fillId="2" borderId="2" xfId="0" applyFont="1" applyFill="1" applyBorder="1" applyAlignment="1" applyProtection="1">
      <alignment horizontal="left"/>
    </xf>
    <xf numFmtId="0" fontId="11" fillId="2" borderId="5" xfId="0" applyFont="1" applyFill="1" applyBorder="1" applyAlignment="1" applyProtection="1">
      <alignment horizontal="center"/>
    </xf>
    <xf numFmtId="168" fontId="6" fillId="2" borderId="8" xfId="0" applyNumberFormat="1" applyFont="1" applyFill="1" applyBorder="1" applyAlignment="1" applyProtection="1">
      <alignment horizontal="center" vertical="center"/>
    </xf>
    <xf numFmtId="168" fontId="6" fillId="2" borderId="13" xfId="0" applyNumberFormat="1" applyFont="1" applyFill="1" applyBorder="1" applyAlignment="1" applyProtection="1">
      <alignment horizontal="center" vertical="center"/>
    </xf>
    <xf numFmtId="168" fontId="6" fillId="2" borderId="18" xfId="0" applyNumberFormat="1" applyFont="1" applyFill="1" applyBorder="1" applyAlignment="1" applyProtection="1">
      <alignment horizontal="center" vertical="center"/>
    </xf>
    <xf numFmtId="0" fontId="17" fillId="2" borderId="3" xfId="0" applyFont="1" applyFill="1" applyBorder="1" applyAlignment="1" applyProtection="1">
      <alignment horizontal="center"/>
    </xf>
    <xf numFmtId="0" fontId="17" fillId="2" borderId="9" xfId="0" applyFont="1" applyFill="1" applyBorder="1" applyAlignment="1" applyProtection="1">
      <alignment horizontal="center"/>
    </xf>
    <xf numFmtId="0" fontId="17" fillId="2" borderId="7" xfId="0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9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13" xfId="0" applyFont="1" applyFill="1" applyBorder="1" applyAlignment="1" applyProtection="1">
      <alignment horizontal="center"/>
    </xf>
    <xf numFmtId="0" fontId="6" fillId="2" borderId="18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6" fillId="2" borderId="9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left"/>
      <protection locked="0"/>
    </xf>
    <xf numFmtId="0" fontId="5" fillId="0" borderId="7" xfId="0" applyFont="1" applyFill="1" applyBorder="1" applyAlignment="1" applyProtection="1">
      <alignment horizontal="left"/>
      <protection locked="0"/>
    </xf>
    <xf numFmtId="168" fontId="6" fillId="2" borderId="8" xfId="0" applyNumberFormat="1" applyFont="1" applyFill="1" applyBorder="1" applyAlignment="1" applyProtection="1">
      <alignment horizontal="left" vertical="center" indent="5"/>
    </xf>
    <xf numFmtId="168" fontId="6" fillId="2" borderId="13" xfId="0" applyNumberFormat="1" applyFont="1" applyFill="1" applyBorder="1" applyAlignment="1" applyProtection="1">
      <alignment horizontal="left" vertical="center" indent="5"/>
    </xf>
    <xf numFmtId="168" fontId="6" fillId="2" borderId="5" xfId="0" applyNumberFormat="1" applyFont="1" applyFill="1" applyBorder="1" applyAlignment="1" applyProtection="1">
      <alignment horizontal="left" vertical="center" indent="5"/>
    </xf>
    <xf numFmtId="0" fontId="6" fillId="2" borderId="5" xfId="0" applyFont="1" applyFill="1" applyBorder="1" applyAlignment="1" applyProtection="1">
      <alignment horizontal="left" indent="5"/>
    </xf>
    <xf numFmtId="168" fontId="6" fillId="2" borderId="3" xfId="4" applyNumberFormat="1" applyFont="1" applyFill="1" applyBorder="1" applyAlignment="1" applyProtection="1">
      <alignment horizontal="left" vertical="center"/>
    </xf>
    <xf numFmtId="168" fontId="6" fillId="2" borderId="7" xfId="4" applyNumberFormat="1" applyFont="1" applyFill="1" applyBorder="1" applyAlignment="1" applyProtection="1">
      <alignment horizontal="left" vertical="center"/>
    </xf>
    <xf numFmtId="168" fontId="6" fillId="2" borderId="5" xfId="4" applyNumberFormat="1" applyFont="1" applyFill="1" applyBorder="1" applyAlignment="1" applyProtection="1">
      <alignment horizontal="left" vertical="center"/>
    </xf>
    <xf numFmtId="0" fontId="6" fillId="2" borderId="3" xfId="4" applyFont="1" applyFill="1" applyBorder="1" applyAlignment="1" applyProtection="1">
      <alignment horizontal="center"/>
    </xf>
    <xf numFmtId="0" fontId="6" fillId="2" borderId="7" xfId="4" applyFont="1" applyFill="1" applyBorder="1" applyAlignment="1" applyProtection="1">
      <alignment horizontal="center"/>
    </xf>
    <xf numFmtId="168" fontId="6" fillId="2" borderId="3" xfId="4" applyNumberFormat="1" applyFont="1" applyFill="1" applyBorder="1" applyAlignment="1" applyProtection="1">
      <alignment horizontal="center" vertical="center"/>
    </xf>
    <xf numFmtId="168" fontId="6" fillId="2" borderId="7" xfId="4" applyNumberFormat="1" applyFont="1" applyFill="1" applyBorder="1" applyAlignment="1" applyProtection="1">
      <alignment horizontal="center" vertical="center"/>
    </xf>
    <xf numFmtId="0" fontId="11" fillId="2" borderId="2" xfId="4" applyFont="1" applyFill="1" applyBorder="1" applyAlignment="1" applyProtection="1">
      <alignment horizontal="center"/>
    </xf>
    <xf numFmtId="0" fontId="6" fillId="2" borderId="34" xfId="4" applyFont="1" applyFill="1" applyBorder="1" applyAlignment="1" applyProtection="1">
      <alignment horizontal="center"/>
    </xf>
    <xf numFmtId="0" fontId="6" fillId="2" borderId="35" xfId="4" applyFont="1" applyFill="1" applyBorder="1" applyAlignment="1" applyProtection="1">
      <alignment horizontal="center"/>
    </xf>
    <xf numFmtId="0" fontId="6" fillId="2" borderId="36" xfId="4" applyFont="1" applyFill="1" applyBorder="1" applyAlignment="1" applyProtection="1">
      <alignment horizontal="center"/>
    </xf>
    <xf numFmtId="0" fontId="6" fillId="2" borderId="37" xfId="0" applyFont="1" applyFill="1" applyBorder="1" applyAlignment="1" applyProtection="1">
      <alignment horizontal="center" vertical="top" wrapText="1"/>
    </xf>
    <xf numFmtId="0" fontId="6" fillId="2" borderId="11" xfId="0" applyFont="1" applyFill="1" applyBorder="1" applyAlignment="1" applyProtection="1">
      <alignment horizontal="center" vertical="top" wrapText="1"/>
    </xf>
    <xf numFmtId="0" fontId="6" fillId="2" borderId="38" xfId="0" applyFont="1" applyFill="1" applyBorder="1" applyAlignment="1" applyProtection="1">
      <alignment horizontal="center" vertical="top" wrapText="1"/>
    </xf>
    <xf numFmtId="0" fontId="6" fillId="2" borderId="39" xfId="0" applyFont="1" applyFill="1" applyBorder="1" applyAlignment="1" applyProtection="1">
      <alignment horizontal="center" vertical="top" wrapText="1"/>
    </xf>
    <xf numFmtId="0" fontId="5" fillId="8" borderId="40" xfId="0" applyFont="1" applyFill="1" applyBorder="1" applyAlignment="1" applyProtection="1">
      <alignment horizontal="left"/>
    </xf>
    <xf numFmtId="0" fontId="5" fillId="8" borderId="41" xfId="0" applyFont="1" applyFill="1" applyBorder="1" applyAlignment="1" applyProtection="1">
      <alignment horizontal="left"/>
    </xf>
    <xf numFmtId="0" fontId="6" fillId="2" borderId="38" xfId="0" applyFont="1" applyFill="1" applyBorder="1" applyAlignment="1" applyProtection="1">
      <alignment horizontal="left" vertical="top" wrapText="1"/>
    </xf>
    <xf numFmtId="0" fontId="6" fillId="2" borderId="39" xfId="0" applyFont="1" applyFill="1" applyBorder="1" applyAlignment="1" applyProtection="1">
      <alignment horizontal="left" vertical="top" wrapText="1"/>
    </xf>
    <xf numFmtId="0" fontId="6" fillId="2" borderId="16" xfId="0" applyFont="1" applyFill="1" applyBorder="1" applyAlignment="1" applyProtection="1">
      <alignment horizontal="center"/>
    </xf>
    <xf numFmtId="0" fontId="6" fillId="2" borderId="24" xfId="0" applyFont="1" applyFill="1" applyBorder="1" applyAlignment="1" applyProtection="1">
      <alignment horizontal="center"/>
    </xf>
    <xf numFmtId="0" fontId="6" fillId="2" borderId="7" xfId="0" applyFont="1" applyFill="1" applyBorder="1" applyAlignment="1" applyProtection="1">
      <alignment horizontal="center"/>
    </xf>
    <xf numFmtId="0" fontId="6" fillId="2" borderId="6" xfId="0" applyFont="1" applyFill="1" applyBorder="1" applyAlignment="1" applyProtection="1">
      <alignment horizontal="center"/>
    </xf>
    <xf numFmtId="0" fontId="6" fillId="2" borderId="11" xfId="0" applyFont="1" applyFill="1" applyBorder="1" applyAlignment="1" applyProtection="1">
      <alignment horizontal="center"/>
    </xf>
    <xf numFmtId="0" fontId="11" fillId="0" borderId="33" xfId="0" applyFont="1" applyFill="1" applyBorder="1" applyAlignment="1" applyProtection="1">
      <alignment horizontal="center"/>
    </xf>
    <xf numFmtId="0" fontId="37" fillId="16" borderId="3" xfId="0" applyFont="1" applyFill="1" applyBorder="1" applyAlignment="1" applyProtection="1">
      <alignment horizontal="center"/>
    </xf>
    <xf numFmtId="0" fontId="37" fillId="16" borderId="7" xfId="0" applyFont="1" applyFill="1" applyBorder="1" applyAlignment="1" applyProtection="1">
      <alignment horizontal="center"/>
    </xf>
    <xf numFmtId="0" fontId="43" fillId="7" borderId="0" xfId="0" applyFont="1" applyFill="1" applyBorder="1" applyAlignment="1" applyProtection="1">
      <alignment horizontal="justify"/>
    </xf>
    <xf numFmtId="3" fontId="6" fillId="11" borderId="42" xfId="0" applyNumberFormat="1" applyFont="1" applyFill="1" applyBorder="1" applyAlignment="1" applyProtection="1">
      <alignment horizontal="center" vertical="center"/>
    </xf>
    <xf numFmtId="0" fontId="6" fillId="11" borderId="43" xfId="0" applyFont="1" applyFill="1" applyBorder="1" applyAlignment="1" applyProtection="1">
      <alignment horizontal="center" vertical="center"/>
    </xf>
    <xf numFmtId="0" fontId="40" fillId="12" borderId="3" xfId="0" applyFont="1" applyFill="1" applyBorder="1" applyAlignment="1" applyProtection="1">
      <alignment horizontal="center"/>
    </xf>
    <xf numFmtId="0" fontId="40" fillId="12" borderId="7" xfId="0" applyFont="1" applyFill="1" applyBorder="1" applyAlignment="1" applyProtection="1">
      <alignment horizontal="center"/>
    </xf>
    <xf numFmtId="0" fontId="37" fillId="17" borderId="3" xfId="0" applyFont="1" applyFill="1" applyBorder="1" applyAlignment="1" applyProtection="1">
      <alignment horizontal="center"/>
    </xf>
    <xf numFmtId="0" fontId="37" fillId="17" borderId="7" xfId="0" applyFont="1" applyFill="1" applyBorder="1" applyAlignment="1" applyProtection="1">
      <alignment horizontal="center"/>
    </xf>
    <xf numFmtId="0" fontId="46" fillId="3" borderId="44" xfId="0" applyFont="1" applyFill="1" applyBorder="1" applyAlignment="1" applyProtection="1">
      <alignment horizontal="justify"/>
    </xf>
    <xf numFmtId="0" fontId="46" fillId="3" borderId="0" xfId="0" applyFont="1" applyFill="1" applyBorder="1" applyAlignment="1" applyProtection="1">
      <alignment horizontal="justify"/>
    </xf>
    <xf numFmtId="0" fontId="6" fillId="0" borderId="3" xfId="0" applyFont="1" applyFill="1" applyBorder="1" applyAlignment="1" applyProtection="1">
      <alignment horizontal="right"/>
      <protection locked="0"/>
    </xf>
    <xf numFmtId="0" fontId="6" fillId="0" borderId="7" xfId="0" applyFont="1" applyFill="1" applyBorder="1" applyAlignment="1" applyProtection="1">
      <alignment horizontal="right"/>
      <protection locked="0"/>
    </xf>
    <xf numFmtId="0" fontId="6" fillId="0" borderId="3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3" xfId="0" applyFont="1" applyBorder="1" applyAlignment="1" applyProtection="1">
      <alignment horizontal="right"/>
      <protection locked="0"/>
    </xf>
    <xf numFmtId="0" fontId="6" fillId="0" borderId="7" xfId="0" applyFont="1" applyBorder="1" applyAlignment="1" applyProtection="1">
      <alignment horizontal="right"/>
      <protection locked="0"/>
    </xf>
    <xf numFmtId="3" fontId="6" fillId="0" borderId="3" xfId="0" applyNumberFormat="1" applyFont="1" applyFill="1" applyBorder="1" applyAlignment="1" applyProtection="1">
      <alignment horizontal="right" vertical="center"/>
      <protection locked="0"/>
    </xf>
    <xf numFmtId="3" fontId="6" fillId="0" borderId="7" xfId="0" applyNumberFormat="1" applyFont="1" applyFill="1" applyBorder="1" applyAlignment="1" applyProtection="1">
      <alignment horizontal="right" vertical="center"/>
      <protection locked="0"/>
    </xf>
  </cellXfs>
  <cellStyles count="8">
    <cellStyle name="Moeda" xfId="2" builtinId="4"/>
    <cellStyle name="Normal" xfId="0" builtinId="0"/>
    <cellStyle name="Normal_Book1" xfId="3" xr:uid="{00000000-0005-0000-0000-000003000000}"/>
    <cellStyle name="Normal_ModeloEconFinanceiro" xfId="4" xr:uid="{00000000-0005-0000-0000-000004000000}"/>
    <cellStyle name="Normal_ModeloInzym" xfId="5" xr:uid="{00000000-0005-0000-0000-000005000000}"/>
    <cellStyle name="Percentagem" xfId="6" builtinId="5"/>
    <cellStyle name="Percentagem_ModeloInzym" xfId="7" xr:uid="{00000000-0005-0000-0000-000007000000}"/>
    <cellStyle name="Vírgula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514" name="Picture 3" descr="NOVO LOGO - IAPMEI">
          <a:extLst>
            <a:ext uri="{FF2B5EF4-FFF2-40B4-BE49-F238E27FC236}">
              <a16:creationId xmlns:a16="http://schemas.microsoft.com/office/drawing/2014/main" id="{31FEF728-60AF-4FAA-A590-8C8314D4D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515" name="Picture 3" descr="NOVO LOGO - IAPMEI">
          <a:extLst>
            <a:ext uri="{FF2B5EF4-FFF2-40B4-BE49-F238E27FC236}">
              <a16:creationId xmlns:a16="http://schemas.microsoft.com/office/drawing/2014/main" id="{6CB16A02-C038-40C6-B696-F458AACAD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516" name="Picture 3" descr="NOVO LOGO - IAPMEI">
          <a:extLst>
            <a:ext uri="{FF2B5EF4-FFF2-40B4-BE49-F238E27FC236}">
              <a16:creationId xmlns:a16="http://schemas.microsoft.com/office/drawing/2014/main" id="{26F5EF36-8184-428D-9079-6782C82BC9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2481" name="Picture 2" descr="NOVO LOGO - IAPMEI">
          <a:extLst>
            <a:ext uri="{FF2B5EF4-FFF2-40B4-BE49-F238E27FC236}">
              <a16:creationId xmlns:a16="http://schemas.microsoft.com/office/drawing/2014/main" id="{AE8719C4-61BD-4808-BD1C-0CFFDFD5B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0</xdr:rowOff>
    </xdr:to>
    <xdr:pic>
      <xdr:nvPicPr>
        <xdr:cNvPr id="10518" name="Picture 5" descr="NOVO LOGO - IAPMEI">
          <a:extLst>
            <a:ext uri="{FF2B5EF4-FFF2-40B4-BE49-F238E27FC236}">
              <a16:creationId xmlns:a16="http://schemas.microsoft.com/office/drawing/2014/main" id="{965A3B69-D3A4-4067-9B2E-189082E65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1409700</xdr:colOff>
      <xdr:row>3</xdr:row>
      <xdr:rowOff>0</xdr:rowOff>
    </xdr:to>
    <xdr:pic>
      <xdr:nvPicPr>
        <xdr:cNvPr id="13505" name="Picture 2" descr="NOVO LOGO - IAPMEI">
          <a:extLst>
            <a:ext uri="{FF2B5EF4-FFF2-40B4-BE49-F238E27FC236}">
              <a16:creationId xmlns:a16="http://schemas.microsoft.com/office/drawing/2014/main" id="{C4181FDB-3386-494D-BF66-41763B6F2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14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5553" name="Picture 2" descr="NOVO LOGO - IAPMEI">
          <a:extLst>
            <a:ext uri="{FF2B5EF4-FFF2-40B4-BE49-F238E27FC236}">
              <a16:creationId xmlns:a16="http://schemas.microsoft.com/office/drawing/2014/main" id="{428D7C0D-1027-42EC-B3F9-6F9E5988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1428750</xdr:colOff>
      <xdr:row>3</xdr:row>
      <xdr:rowOff>28575</xdr:rowOff>
    </xdr:to>
    <xdr:pic>
      <xdr:nvPicPr>
        <xdr:cNvPr id="3803" name="Picture 540" descr="NOVO LOGO - IAPMEI">
          <a:extLst>
            <a:ext uri="{FF2B5EF4-FFF2-40B4-BE49-F238E27FC236}">
              <a16:creationId xmlns:a16="http://schemas.microsoft.com/office/drawing/2014/main" id="{6E9B25C6-7498-4E54-93E8-FCD90417C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3350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4529" name="Picture 2" descr="NOVO LOGO - IAPMEI">
          <a:extLst>
            <a:ext uri="{FF2B5EF4-FFF2-40B4-BE49-F238E27FC236}">
              <a16:creationId xmlns:a16="http://schemas.microsoft.com/office/drawing/2014/main" id="{E91F87A1-5F7D-45E9-9362-A74803118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47625</xdr:rowOff>
    </xdr:from>
    <xdr:to>
      <xdr:col>0</xdr:col>
      <xdr:colOff>1409700</xdr:colOff>
      <xdr:row>4</xdr:row>
      <xdr:rowOff>0</xdr:rowOff>
    </xdr:to>
    <xdr:pic>
      <xdr:nvPicPr>
        <xdr:cNvPr id="17601" name="Picture 2" descr="NOVO LOGO - IAPMEI">
          <a:extLst>
            <a:ext uri="{FF2B5EF4-FFF2-40B4-BE49-F238E27FC236}">
              <a16:creationId xmlns:a16="http://schemas.microsoft.com/office/drawing/2014/main" id="{83EBE406-31AE-4388-8414-EF649436B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19075"/>
          <a:ext cx="1314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7572" name="Picture 1237" descr="NOVO LOGO - IAPMEI">
          <a:extLst>
            <a:ext uri="{FF2B5EF4-FFF2-40B4-BE49-F238E27FC236}">
              <a16:creationId xmlns:a16="http://schemas.microsoft.com/office/drawing/2014/main" id="{9B2F8410-C940-4271-A951-429026968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23651" name="Picture 687" descr="NOVO LOGO - IAPMEI">
          <a:extLst>
            <a:ext uri="{FF2B5EF4-FFF2-40B4-BE49-F238E27FC236}">
              <a16:creationId xmlns:a16="http://schemas.microsoft.com/office/drawing/2014/main" id="{42E36CDB-C9FC-4295-81EB-4066E861E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6004" name="Picture 687" descr="NOVO LOGO - IAPMEI">
          <a:extLst>
            <a:ext uri="{FF2B5EF4-FFF2-40B4-BE49-F238E27FC236}">
              <a16:creationId xmlns:a16="http://schemas.microsoft.com/office/drawing/2014/main" id="{B4CC7ED3-B736-461C-B7E4-80CAC5E9B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1428750</xdr:colOff>
      <xdr:row>3</xdr:row>
      <xdr:rowOff>28575</xdr:rowOff>
    </xdr:to>
    <xdr:pic>
      <xdr:nvPicPr>
        <xdr:cNvPr id="18625" name="Picture 2" descr="NOVO LOGO - IAPMEI">
          <a:extLst>
            <a:ext uri="{FF2B5EF4-FFF2-40B4-BE49-F238E27FC236}">
              <a16:creationId xmlns:a16="http://schemas.microsoft.com/office/drawing/2014/main" id="{812BE177-03FB-4545-80B1-9CFC736BB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3350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9855" name="Picture 2" descr="NOVO LOGO - IAPMEI">
          <a:extLst>
            <a:ext uri="{FF2B5EF4-FFF2-40B4-BE49-F238E27FC236}">
              <a16:creationId xmlns:a16="http://schemas.microsoft.com/office/drawing/2014/main" id="{C34B82E3-0A2C-4963-B74B-216344777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288290</xdr:colOff>
      <xdr:row>31</xdr:row>
      <xdr:rowOff>47625</xdr:rowOff>
    </xdr:from>
    <xdr:to>
      <xdr:col>0</xdr:col>
      <xdr:colOff>1509229</xdr:colOff>
      <xdr:row>33</xdr:row>
      <xdr:rowOff>48507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5BDB7FC6-30F8-49B9-B211-E613C33BE267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1</xdr:col>
      <xdr:colOff>47625</xdr:colOff>
      <xdr:row>3</xdr:row>
      <xdr:rowOff>38100</xdr:rowOff>
    </xdr:to>
    <xdr:pic>
      <xdr:nvPicPr>
        <xdr:cNvPr id="4976" name="Picture 689" descr="NOVO LOGO - IAPMEI">
          <a:extLst>
            <a:ext uri="{FF2B5EF4-FFF2-40B4-BE49-F238E27FC236}">
              <a16:creationId xmlns:a16="http://schemas.microsoft.com/office/drawing/2014/main" id="{1BA97A28-FFDD-4D90-A4EB-3B13E8A9A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1409700</xdr:colOff>
      <xdr:row>3</xdr:row>
      <xdr:rowOff>28575</xdr:rowOff>
    </xdr:to>
    <xdr:pic>
      <xdr:nvPicPr>
        <xdr:cNvPr id="20674" name="Picture 2" descr="NOVO LOGO - IAPMEI">
          <a:extLst>
            <a:ext uri="{FF2B5EF4-FFF2-40B4-BE49-F238E27FC236}">
              <a16:creationId xmlns:a16="http://schemas.microsoft.com/office/drawing/2014/main" id="{150183C1-E216-4B50-A7CC-4AB7FAAB7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14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844" name="Picture 9" descr="NOVO LOGO - IAPMEI">
          <a:extLst>
            <a:ext uri="{FF2B5EF4-FFF2-40B4-BE49-F238E27FC236}">
              <a16:creationId xmlns:a16="http://schemas.microsoft.com/office/drawing/2014/main" id="{CE2037EC-EB1E-4064-8D39-513DC02DB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327660</xdr:colOff>
      <xdr:row>49</xdr:row>
      <xdr:rowOff>9525</xdr:rowOff>
    </xdr:from>
    <xdr:to>
      <xdr:col>13</xdr:col>
      <xdr:colOff>328295</xdr:colOff>
      <xdr:row>63</xdr:row>
      <xdr:rowOff>7620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36E1806C-D630-4A0B-9C94-8C36CDE01BB3}"/>
            </a:ext>
          </a:extLst>
        </xdr:cNvPr>
        <xdr:cNvCxnSpPr/>
      </xdr:nvCxnSpPr>
      <xdr:spPr>
        <a:xfrm flipH="1">
          <a:off x="8663940" y="6669405"/>
          <a:ext cx="635" cy="1849755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364490</xdr:colOff>
      <xdr:row>60</xdr:row>
      <xdr:rowOff>88900</xdr:rowOff>
    </xdr:from>
    <xdr:to>
      <xdr:col>14</xdr:col>
      <xdr:colOff>2388</xdr:colOff>
      <xdr:row>60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6D4E66B4-2993-49B7-B77C-08F86814E020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364490</xdr:colOff>
      <xdr:row>62</xdr:row>
      <xdr:rowOff>101600</xdr:rowOff>
    </xdr:from>
    <xdr:to>
      <xdr:col>14</xdr:col>
      <xdr:colOff>2388</xdr:colOff>
      <xdr:row>62</xdr:row>
      <xdr:rowOff>101600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E0D0217C-0708-4B39-B97B-C55D73D2B7D5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234315</xdr:colOff>
      <xdr:row>30</xdr:row>
      <xdr:rowOff>40005</xdr:rowOff>
    </xdr:from>
    <xdr:to>
      <xdr:col>13</xdr:col>
      <xdr:colOff>257175</xdr:colOff>
      <xdr:row>39</xdr:row>
      <xdr:rowOff>41911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A80A74BF-E206-4D17-97B0-5F67497E85EB}"/>
            </a:ext>
          </a:extLst>
        </xdr:cNvPr>
        <xdr:cNvCxnSpPr/>
      </xdr:nvCxnSpPr>
      <xdr:spPr>
        <a:xfrm>
          <a:off x="8580120" y="4114800"/>
          <a:ext cx="22860" cy="1236346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328295</xdr:colOff>
      <xdr:row>36</xdr:row>
      <xdr:rowOff>116840</xdr:rowOff>
    </xdr:from>
    <xdr:to>
      <xdr:col>13</xdr:col>
      <xdr:colOff>542165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C7B8B171-468C-413E-9B27-F51E34E41C4C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368300</xdr:colOff>
      <xdr:row>38</xdr:row>
      <xdr:rowOff>104775</xdr:rowOff>
    </xdr:from>
    <xdr:to>
      <xdr:col>14</xdr:col>
      <xdr:colOff>3128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F6F06767-9286-4149-8539-FCB778496163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305435</xdr:colOff>
      <xdr:row>17</xdr:row>
      <xdr:rowOff>111125</xdr:rowOff>
    </xdr:from>
    <xdr:to>
      <xdr:col>13</xdr:col>
      <xdr:colOff>520634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D4F6F057-52C7-4A97-AE47-33A1B0A6684E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327660</xdr:colOff>
      <xdr:row>19</xdr:row>
      <xdr:rowOff>104775</xdr:rowOff>
    </xdr:from>
    <xdr:to>
      <xdr:col>13</xdr:col>
      <xdr:colOff>529382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D79009C8-E77A-45E9-8DC2-3024DB04719A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220980</xdr:colOff>
      <xdr:row>10</xdr:row>
      <xdr:rowOff>47625</xdr:rowOff>
    </xdr:from>
    <xdr:to>
      <xdr:col>13</xdr:col>
      <xdr:colOff>227648</xdr:colOff>
      <xdr:row>19</xdr:row>
      <xdr:rowOff>121932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52BC5F1D-BAC3-4FBE-BBAC-2E9C1A3E4C74}"/>
            </a:ext>
          </a:extLst>
        </xdr:cNvPr>
        <xdr:cNvCxnSpPr/>
      </xdr:nvCxnSpPr>
      <xdr:spPr>
        <a:xfrm>
          <a:off x="8557260" y="1417320"/>
          <a:ext cx="13336" cy="128778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38100</xdr:rowOff>
    </xdr:to>
    <xdr:pic>
      <xdr:nvPicPr>
        <xdr:cNvPr id="22650" name="Picture 2" descr="NOVO LOGO - IAPMEI">
          <a:extLst>
            <a:ext uri="{FF2B5EF4-FFF2-40B4-BE49-F238E27FC236}">
              <a16:creationId xmlns:a16="http://schemas.microsoft.com/office/drawing/2014/main" id="{B3AE8B49-E616-4FD4-B184-575CA40F2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porto-my.sharepoint.com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porto-my.sharepoint.com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isa Daniela Quintal Oliveira" id="{5849977E-CE6E-9241-B92A-BE6DFA7DEE35}" userId="S::up201308594@ms.uporto.pt::5736378e-5830-4b97-803b-88b35ce2602c" providerId="AD"/>
  <person displayName="Nelson André Garrido da Costa" id="{E7C73FBC-EBB8-BE42-B312-81B08AC316AD}" userId="S::up201403128@ms.uporto.pt::5f04f8da-8fd6-4f03-9eca-967796dbfc14" providerId="AD"/>
  <person displayName="Veronica Sofia Marcos Fradique" id="{8E8840F1-8626-E94D-A893-8F8EF537917C}" userId="S::up201506440@ms.uporto.pt::40e974da-287e-49b0-9eae-8e06018dd37f" providerId="AD"/>
  <person displayName="Tiago Santos" id="{9EBCD1FA-14FE-4637-819B-699775134A1E}" userId="S::up201808919@ms.uporto.pt::9cad3059-5be9-4bf1-bac7-98295e8afd8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2" dT="2019-12-04T16:58:58.72" personId="{9EBCD1FA-14FE-4637-819B-699775134A1E}" id="{F2D94B9E-AF9C-4354-90A2-EA053AD8517D}">
    <text xml:space="preserve">Verónica
</text>
  </threadedComment>
  <threadedComment ref="G12" dT="2019-12-09T23:54:20.31" personId="{8E8840F1-8626-E94D-A893-8F8EF537917C}" id="{9280B775-A08E-46AF-B610-BA081F8A6D12}" parentId="{F2D94B9E-AF9C-4354-90A2-EA053AD8517D}">
    <text xml:space="preserve">60€ mensais para segurança +250€ para instalação
</text>
  </threadedComment>
  <threadedComment ref="G12" dT="2019-12-09T23:54:33.87" personId="{8E8840F1-8626-E94D-A893-8F8EF537917C}" id="{5F71A5B6-D718-4238-89BA-65034F0DEF23}" parentId="{F2D94B9E-AF9C-4354-90A2-EA053AD8517D}">
    <text xml:space="preserve">!00€ mensais para contabilidade
</text>
  </threadedComment>
  <threadedComment ref="E15" dT="2019-12-13T14:57:31.67" personId="{8E8840F1-8626-E94D-A893-8F8EF537917C}" id="{A11A0074-8FC3-424E-B1EE-D9BD7F112001}">
    <text xml:space="preserve">100€ contabilidade, 69€ software de apoio ao negócio WinRest360 plano Plus 
</text>
  </threadedComment>
  <threadedComment ref="P24" dT="2019-12-12T19:25:10.48" personId="{8E8840F1-8626-E94D-A893-8F8EF537917C}" id="{F4B96244-7947-4328-804F-121AD40F4C59}">
    <text xml:space="preserve">Com o aumento das vendas, anualmente, a quantidade de material (tinteiros, canetas, papel térmico aumentam )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6" dT="2019-12-13T11:50:53.96" personId="{5849977E-CE6E-9241-B92A-BE6DFA7DEE35}" id="{9BCFDE19-29F5-4FA4-921F-59EFC57FB250}">
    <text xml:space="preserve">tanque para a cerveja A e mais 3 barris e uma maquina de pressão
</text>
  </threadedComment>
  <threadedComment ref="C18" dT="2019-12-13T00:42:46.52" personId="{5849977E-CE6E-9241-B92A-BE6DFA7DEE35}" id="{98FB174D-6087-40A6-99AB-8DC3C667957D}">
    <text xml:space="preserve">Computador e impressora térmica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3" dT="2019-12-10T17:41:55.47" personId="{E7C73FBC-EBB8-BE42-B312-81B08AC316AD}" id="{F6CD4706-B0C2-4341-83D9-241373AA77D3}">
    <text>Eu</text>
  </threadedComment>
  <threadedComment ref="C16" dT="2019-12-12T19:30:34.92" personId="{5849977E-CE6E-9241-B92A-BE6DFA7DEE35}" id="{C0FC106D-09BB-43EF-8E6F-840D285965DE}">
    <text xml:space="preserve">Cada garrafa custa 0.31 cent e leva 0.33 l de cerveja, ou seja, 25L custam 23.56, certo?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424"/>
  <sheetViews>
    <sheetView workbookViewId="0">
      <selection activeCell="E1" sqref="E1"/>
    </sheetView>
  </sheetViews>
  <sheetFormatPr defaultColWidth="9" defaultRowHeight="12.95"/>
  <cols>
    <col min="1" max="1" width="3.85546875" style="11" customWidth="1"/>
    <col min="2" max="2" width="112" customWidth="1"/>
    <col min="3" max="73" width="3.85546875" style="11" customWidth="1"/>
  </cols>
  <sheetData>
    <row r="1" spans="2:2" ht="196.5" customHeight="1" thickBot="1">
      <c r="B1" s="443" t="s">
        <v>0</v>
      </c>
    </row>
    <row r="2" spans="2:2" ht="42" customHeight="1">
      <c r="B2" s="444" t="s">
        <v>1</v>
      </c>
    </row>
    <row r="3" spans="2:2" ht="252.75" customHeight="1">
      <c r="B3" s="446" t="s">
        <v>2</v>
      </c>
    </row>
    <row r="4" spans="2:2" ht="24.75" customHeight="1">
      <c r="B4" s="447" t="s">
        <v>3</v>
      </c>
    </row>
    <row r="5" spans="2:2" ht="35.25" customHeight="1">
      <c r="B5" s="445"/>
    </row>
    <row r="6" spans="2:2" s="11" customFormat="1" ht="409.5" customHeight="1"/>
    <row r="7" spans="2:2" s="11" customFormat="1" ht="409.5" customHeight="1"/>
    <row r="8" spans="2:2" s="11" customFormat="1" ht="409.5" customHeight="1"/>
    <row r="9" spans="2:2" s="11" customFormat="1" ht="409.5" customHeight="1"/>
    <row r="10" spans="2:2" s="11" customFormat="1" ht="409.5" customHeight="1"/>
    <row r="11" spans="2:2" s="11" customFormat="1" ht="409.5" customHeight="1"/>
    <row r="12" spans="2:2" s="11" customFormat="1" ht="409.5" customHeight="1"/>
    <row r="13" spans="2:2" s="11" customFormat="1" ht="409.5" customHeight="1"/>
    <row r="14" spans="2:2" s="11" customFormat="1" ht="409.5" customHeight="1"/>
    <row r="15" spans="2:2" s="11" customFormat="1" ht="409.5" customHeight="1"/>
    <row r="16" spans="2:2" s="11" customFormat="1" ht="409.5" customHeight="1"/>
    <row r="17" s="11" customFormat="1" ht="409.5" customHeight="1"/>
    <row r="18" s="11" customFormat="1" ht="409.5" customHeight="1"/>
    <row r="19" s="11" customFormat="1" ht="409.5" customHeight="1"/>
    <row r="20" s="11" customFormat="1" ht="409.5" customHeight="1"/>
    <row r="21" s="11" customFormat="1" ht="409.5" customHeight="1"/>
    <row r="22" s="11" customFormat="1" ht="409.5" customHeight="1"/>
    <row r="23" s="11" customFormat="1" ht="409.5" customHeight="1"/>
    <row r="24" s="11" customFormat="1" ht="409.5" customHeight="1"/>
    <row r="25" s="11" customFormat="1" ht="409.5" customHeight="1"/>
    <row r="26" s="11" customFormat="1" ht="409.5" customHeight="1"/>
    <row r="27" s="11" customFormat="1" ht="409.5" customHeight="1"/>
    <row r="28" s="11" customFormat="1" ht="409.5" customHeight="1"/>
    <row r="29" s="11" customFormat="1" ht="409.5" customHeight="1"/>
    <row r="30" s="11" customFormat="1" ht="409.5" customHeight="1"/>
    <row r="31" s="11" customFormat="1" ht="409.5" customHeight="1"/>
    <row r="32" s="11" customFormat="1" ht="409.5" customHeight="1"/>
    <row r="33" s="11" customFormat="1" ht="409.5" customHeight="1"/>
    <row r="34" s="11" customFormat="1" ht="409.5" customHeight="1"/>
    <row r="35" s="11" customFormat="1" ht="409.5" customHeight="1"/>
    <row r="36" s="11" customFormat="1" ht="409.5" customHeight="1"/>
    <row r="37" s="11" customFormat="1" ht="409.5" customHeight="1"/>
    <row r="38" s="11" customFormat="1" ht="409.5" customHeight="1"/>
    <row r="39" s="11" customFormat="1" ht="409.5" customHeight="1"/>
    <row r="40" s="11" customFormat="1" ht="409.5" customHeight="1"/>
    <row r="41" s="11" customFormat="1" ht="409.5" customHeight="1"/>
    <row r="42" s="11" customFormat="1" ht="409.5" customHeight="1"/>
    <row r="43" s="11" customFormat="1" ht="409.5" customHeight="1"/>
    <row r="44" s="11" customFormat="1" ht="409.5" customHeight="1"/>
    <row r="45" s="11" customFormat="1" ht="409.5" customHeight="1"/>
    <row r="46" s="11" customFormat="1" ht="409.5" customHeight="1"/>
    <row r="47" s="11" customFormat="1" ht="409.5" customHeight="1"/>
    <row r="48" s="11" customFormat="1" ht="409.5" customHeight="1"/>
    <row r="49" s="11" customFormat="1" ht="409.5" customHeight="1"/>
    <row r="50" s="11" customFormat="1" ht="409.5" customHeight="1"/>
    <row r="51" s="11" customFormat="1" ht="409.5" customHeight="1"/>
    <row r="52" s="11" customFormat="1" ht="409.5" customHeight="1"/>
    <row r="53" s="11" customFormat="1" ht="409.5" customHeight="1"/>
    <row r="54" s="11" customFormat="1" ht="409.5" customHeight="1"/>
    <row r="55" s="11" customFormat="1" ht="409.5" customHeight="1"/>
    <row r="56" s="11" customFormat="1" ht="409.5" customHeight="1"/>
    <row r="57" s="11" customFormat="1" ht="409.5" customHeight="1"/>
    <row r="58" s="11" customFormat="1" ht="409.5" customHeight="1"/>
    <row r="59" s="11" customFormat="1" ht="409.5" customHeight="1"/>
    <row r="60" s="11" customFormat="1" ht="409.5" customHeight="1"/>
    <row r="61" s="11" customFormat="1" ht="409.5" customHeight="1"/>
    <row r="62" s="11" customFormat="1" ht="409.5" customHeight="1"/>
    <row r="63" s="11" customFormat="1" ht="409.5" customHeight="1"/>
    <row r="64" s="11" customFormat="1" ht="409.5" customHeight="1"/>
    <row r="65" s="11" customFormat="1" ht="409.5" customHeight="1"/>
    <row r="66" s="11" customFormat="1" ht="409.5" customHeight="1"/>
    <row r="67" s="11" customFormat="1" ht="409.5" customHeight="1"/>
    <row r="68" s="11" customFormat="1" ht="409.5" customHeight="1"/>
    <row r="69" s="11" customFormat="1" ht="409.5" customHeight="1"/>
    <row r="70" s="11" customFormat="1" ht="409.5" customHeight="1"/>
    <row r="71" s="11" customFormat="1" ht="409.5" customHeight="1"/>
    <row r="72" s="11" customFormat="1" ht="409.5" customHeight="1"/>
    <row r="73" s="11" customFormat="1" ht="409.5" customHeight="1"/>
    <row r="74" s="11" customFormat="1" ht="409.5" customHeight="1"/>
    <row r="75" s="11" customFormat="1" ht="409.5" customHeight="1"/>
    <row r="76" s="11" customFormat="1" ht="409.5" customHeight="1"/>
    <row r="77" s="11" customFormat="1" ht="409.5" customHeight="1"/>
    <row r="78" s="11" customFormat="1" ht="409.5" customHeight="1"/>
    <row r="79" s="11" customFormat="1" ht="409.5" customHeight="1"/>
    <row r="80" s="11" customFormat="1" ht="409.5" customHeight="1"/>
    <row r="81" s="11" customFormat="1" ht="409.5" customHeight="1"/>
    <row r="82" s="11" customFormat="1" ht="409.5" customHeight="1"/>
    <row r="83" s="11" customFormat="1" ht="409.5" customHeight="1"/>
    <row r="84" s="11" customFormat="1" ht="409.5" customHeight="1"/>
    <row r="85" s="11" customFormat="1" ht="409.5" customHeight="1"/>
    <row r="86" s="11" customFormat="1" ht="409.5" customHeight="1"/>
    <row r="87" s="11" customFormat="1" ht="409.5" customHeight="1"/>
    <row r="88" s="11" customFormat="1" ht="409.5" customHeight="1"/>
    <row r="89" s="11" customFormat="1" ht="409.5" customHeight="1"/>
    <row r="90" s="11" customFormat="1" ht="409.5" customHeight="1"/>
    <row r="91" s="11" customFormat="1" ht="409.5" customHeight="1"/>
    <row r="92" s="11" customFormat="1" ht="409.5" customHeight="1"/>
    <row r="93" s="11" customFormat="1" ht="409.5" customHeight="1"/>
    <row r="94" s="11" customFormat="1" ht="409.5" customHeight="1"/>
    <row r="95" s="11" customFormat="1" ht="409.5" customHeight="1"/>
    <row r="96" s="11" customFormat="1" ht="409.5" customHeight="1"/>
    <row r="97" s="11" customFormat="1" ht="409.5" customHeight="1"/>
    <row r="98" s="11" customFormat="1" ht="409.5" customHeight="1"/>
    <row r="99" s="11" customFormat="1" ht="409.5" customHeight="1"/>
    <row r="100" s="11" customFormat="1" ht="409.5" customHeight="1"/>
    <row r="101" s="11" customFormat="1" ht="409.5" customHeight="1"/>
    <row r="102" s="11" customFormat="1" ht="409.5" customHeight="1"/>
    <row r="103" s="11" customFormat="1" ht="409.5" customHeight="1"/>
    <row r="104" s="11" customFormat="1" ht="409.5" customHeight="1"/>
    <row r="105" s="11" customFormat="1" ht="409.5" customHeight="1"/>
    <row r="106" s="11" customFormat="1" ht="409.5" customHeight="1"/>
    <row r="107" s="11" customFormat="1" ht="409.5" customHeight="1"/>
    <row r="108" s="11" customFormat="1" ht="409.5" customHeight="1"/>
    <row r="109" s="11" customFormat="1" ht="409.5" customHeight="1"/>
    <row r="110" s="11" customFormat="1" ht="409.5" customHeight="1"/>
    <row r="111" s="11" customFormat="1" ht="409.5" customHeight="1"/>
    <row r="112" s="11" customFormat="1" ht="409.5" customHeight="1"/>
    <row r="113" s="11" customFormat="1" ht="409.5" customHeight="1"/>
    <row r="114" s="11" customFormat="1" ht="409.5" customHeight="1"/>
    <row r="115" s="11" customFormat="1" ht="409.5" customHeight="1"/>
    <row r="116" s="11" customFormat="1" ht="409.5" customHeight="1"/>
    <row r="117" s="11" customFormat="1" ht="409.5" customHeight="1"/>
    <row r="118" s="11" customFormat="1" ht="409.5" customHeight="1"/>
    <row r="119" s="11" customFormat="1" ht="409.5" customHeight="1"/>
    <row r="120" s="11" customFormat="1" ht="409.5" customHeight="1"/>
    <row r="121" s="11" customFormat="1" ht="409.5" customHeight="1"/>
    <row r="122" s="11" customFormat="1" ht="409.5" customHeight="1"/>
    <row r="123" s="11" customFormat="1" ht="409.5" customHeight="1"/>
    <row r="124" s="11" customFormat="1" ht="409.5" customHeight="1"/>
    <row r="125" s="11" customFormat="1" ht="409.5" customHeight="1"/>
    <row r="126" s="11" customFormat="1" ht="409.5" customHeight="1"/>
    <row r="127" s="11" customFormat="1" ht="409.5" customHeight="1"/>
    <row r="128" s="11" customFormat="1" ht="409.5" customHeight="1"/>
    <row r="129" s="11" customFormat="1" ht="409.5" customHeight="1"/>
    <row r="130" s="11" customFormat="1" ht="409.5" customHeight="1"/>
    <row r="131" s="11" customFormat="1" ht="409.5" customHeight="1"/>
    <row r="132" s="11" customFormat="1" ht="409.5" customHeight="1"/>
    <row r="133" s="11" customFormat="1" ht="409.5" customHeight="1"/>
    <row r="134" s="11" customFormat="1" ht="409.5" customHeight="1"/>
    <row r="135" s="11" customFormat="1" ht="409.5" customHeight="1"/>
    <row r="136" s="11" customFormat="1" ht="409.5" customHeight="1"/>
    <row r="137" s="11" customFormat="1" ht="409.5" customHeight="1"/>
    <row r="138" s="11" customFormat="1" ht="409.5" customHeight="1"/>
    <row r="139" s="11" customFormat="1" ht="409.5" customHeight="1"/>
    <row r="140" s="11" customFormat="1" ht="409.5" customHeight="1"/>
    <row r="141" s="11" customFormat="1" ht="409.5" customHeight="1"/>
    <row r="142" s="11" customFormat="1" ht="409.5" customHeight="1"/>
    <row r="143" s="11" customFormat="1" ht="409.5" customHeight="1"/>
    <row r="144" s="11" customFormat="1" ht="409.5" customHeight="1"/>
    <row r="145" s="11" customFormat="1" ht="409.5" customHeight="1"/>
    <row r="146" s="11" customFormat="1" ht="409.5" customHeight="1"/>
    <row r="147" s="11" customFormat="1" ht="409.5" customHeight="1"/>
    <row r="148" s="11" customFormat="1" ht="409.5" customHeight="1"/>
    <row r="149" s="11" customFormat="1" ht="409.5" customHeight="1"/>
    <row r="150" s="11" customFormat="1" ht="409.5" customHeight="1"/>
    <row r="151" s="11" customFormat="1" ht="409.5" customHeight="1"/>
    <row r="152" s="11" customFormat="1" ht="409.5" customHeight="1"/>
    <row r="153" s="11" customFormat="1" ht="409.5" customHeight="1"/>
    <row r="154" s="11" customFormat="1" ht="409.5" customHeight="1"/>
    <row r="155" s="11" customFormat="1" ht="409.5" customHeight="1"/>
    <row r="156" s="11" customFormat="1" ht="409.5" customHeight="1"/>
    <row r="157" s="11" customFormat="1" ht="409.5" customHeight="1"/>
    <row r="158" s="11" customFormat="1" ht="409.5" customHeight="1"/>
    <row r="159" s="11" customFormat="1" ht="409.5" customHeight="1"/>
    <row r="160" s="11" customFormat="1" ht="409.5" customHeight="1"/>
    <row r="161" s="11" customFormat="1" ht="409.5" customHeight="1"/>
    <row r="162" s="11" customFormat="1" ht="409.5" customHeight="1"/>
    <row r="163" s="11" customFormat="1" ht="409.5" customHeight="1"/>
    <row r="164" s="11" customFormat="1" ht="409.5" customHeight="1"/>
    <row r="165" s="11" customFormat="1" ht="409.5" customHeight="1"/>
    <row r="166" s="11" customFormat="1" ht="409.5" customHeight="1"/>
    <row r="167" s="11" customFormat="1" ht="409.5" customHeight="1"/>
    <row r="168" s="11" customFormat="1" ht="409.5" customHeight="1"/>
    <row r="169" s="11" customFormat="1" ht="409.5" customHeight="1"/>
    <row r="170" s="11" customFormat="1" ht="409.5" customHeight="1"/>
    <row r="171" s="11" customFormat="1" ht="409.5" customHeight="1"/>
    <row r="172" s="11" customFormat="1" ht="409.5" customHeight="1"/>
    <row r="173" s="11" customFormat="1" ht="409.5" customHeight="1"/>
    <row r="174" s="11" customFormat="1" ht="409.5" customHeight="1"/>
    <row r="175" s="11" customFormat="1" ht="409.5" customHeight="1"/>
    <row r="176" s="11" customFormat="1" ht="409.5" customHeight="1"/>
    <row r="177" s="11" customFormat="1" ht="409.5" customHeight="1"/>
    <row r="178" s="11" customFormat="1" ht="409.5" customHeight="1"/>
    <row r="179" s="11" customFormat="1" ht="409.5" customHeight="1"/>
    <row r="180" s="11" customFormat="1" ht="409.5" customHeight="1"/>
    <row r="181" s="11" customFormat="1" ht="409.5" customHeight="1"/>
    <row r="182" s="11" customFormat="1" ht="409.5" customHeight="1"/>
    <row r="183" s="11" customFormat="1" ht="409.5" customHeight="1"/>
    <row r="184" s="11" customFormat="1" ht="409.5" customHeight="1"/>
    <row r="185" s="11" customFormat="1" ht="409.5" customHeight="1"/>
    <row r="186" s="11" customFormat="1" ht="409.5" customHeight="1"/>
    <row r="187" s="11" customFormat="1" ht="409.5" customHeight="1"/>
    <row r="188" s="11" customFormat="1" ht="409.5" customHeight="1"/>
    <row r="189" s="11" customFormat="1" ht="409.5" customHeight="1"/>
    <row r="190" s="11" customFormat="1" ht="409.5" customHeight="1"/>
    <row r="191" s="11" customFormat="1" ht="409.5" customHeight="1"/>
    <row r="192" s="11" customFormat="1" ht="409.5" customHeight="1"/>
    <row r="193" s="11" customFormat="1" ht="409.5" customHeight="1"/>
    <row r="194" s="11" customFormat="1" ht="409.5" customHeight="1"/>
    <row r="195" s="11" customFormat="1" ht="409.5" customHeight="1"/>
    <row r="196" s="11" customFormat="1" ht="409.5" customHeight="1"/>
    <row r="197" s="11" customFormat="1" ht="409.5" customHeight="1"/>
    <row r="198" s="11" customFormat="1" ht="409.5" customHeight="1"/>
    <row r="199" s="11" customFormat="1" ht="409.5" customHeight="1"/>
    <row r="200" s="11" customFormat="1" ht="409.5" customHeight="1"/>
    <row r="201" s="11" customFormat="1" ht="409.5" customHeight="1"/>
    <row r="202" s="11" customFormat="1" ht="409.5" customHeight="1"/>
    <row r="203" s="11" customFormat="1" ht="409.5" customHeight="1"/>
    <row r="204" s="11" customFormat="1" ht="409.5" customHeight="1"/>
    <row r="205" s="11" customFormat="1" ht="409.5" customHeight="1"/>
    <row r="206" s="11" customFormat="1" ht="409.5" customHeight="1"/>
    <row r="207" s="11" customFormat="1" ht="409.5" customHeight="1"/>
    <row r="208" s="11" customFormat="1" ht="409.5" customHeight="1"/>
    <row r="209" s="11" customFormat="1" ht="409.5" customHeight="1"/>
    <row r="210" s="11" customFormat="1" ht="409.5" customHeight="1"/>
    <row r="211" s="11" customFormat="1" ht="409.5" customHeight="1"/>
    <row r="212" s="11" customFormat="1" ht="409.5" customHeight="1"/>
    <row r="213" s="11" customFormat="1" ht="409.5" customHeight="1"/>
    <row r="214" s="11" customFormat="1" ht="409.5" customHeight="1"/>
    <row r="215" s="11" customFormat="1" ht="409.5" customHeight="1"/>
    <row r="216" s="11" customFormat="1" ht="409.5" customHeight="1"/>
    <row r="217" s="11" customFormat="1" ht="409.5" customHeight="1"/>
    <row r="218" s="11" customFormat="1" ht="409.5" customHeight="1"/>
    <row r="219" s="11" customFormat="1" ht="409.5" customHeight="1"/>
    <row r="220" s="11" customFormat="1" ht="409.5" customHeight="1"/>
    <row r="221" s="11" customFormat="1" ht="409.5" customHeight="1"/>
    <row r="222" s="11" customFormat="1" ht="409.5" customHeight="1"/>
    <row r="223" s="11" customFormat="1" ht="409.5" customHeight="1"/>
    <row r="224" s="11" customFormat="1" ht="409.5" customHeight="1"/>
    <row r="225" s="11" customFormat="1" ht="409.5" customHeight="1"/>
    <row r="226" s="11" customFormat="1" ht="409.5" customHeight="1"/>
    <row r="227" s="11" customFormat="1" ht="409.5" customHeight="1"/>
    <row r="228" s="11" customFormat="1" ht="409.5" customHeight="1"/>
    <row r="229" s="11" customFormat="1" ht="409.5" customHeight="1"/>
    <row r="230" s="11" customFormat="1" ht="409.5" customHeight="1"/>
    <row r="231" s="11" customFormat="1" ht="409.5" customHeight="1"/>
    <row r="232" s="11" customFormat="1" ht="409.5" customHeight="1"/>
    <row r="233" s="11" customFormat="1" ht="409.5" customHeight="1"/>
    <row r="234" s="11" customFormat="1" ht="409.5" customHeight="1"/>
    <row r="235" s="11" customFormat="1" ht="409.5" customHeight="1"/>
    <row r="236" s="11" customFormat="1" ht="409.5" customHeight="1"/>
    <row r="237" s="11" customFormat="1" ht="409.5" customHeight="1"/>
    <row r="238" s="11" customFormat="1" ht="409.5" customHeight="1"/>
    <row r="239" s="11" customFormat="1" ht="409.5" customHeight="1"/>
    <row r="240" s="11" customFormat="1" ht="409.5" customHeight="1"/>
    <row r="241" s="11" customFormat="1" ht="409.5" customHeight="1"/>
    <row r="242" s="11" customFormat="1" ht="409.5" customHeight="1"/>
    <row r="243" s="11" customFormat="1" ht="409.5" customHeight="1"/>
    <row r="244" s="11" customFormat="1" ht="409.5" customHeight="1"/>
    <row r="245" s="11" customFormat="1" ht="409.5" customHeight="1"/>
    <row r="246" s="11" customFormat="1" ht="409.5" customHeight="1"/>
    <row r="247" s="11" customFormat="1" ht="409.5" customHeight="1"/>
    <row r="248" s="11" customFormat="1" ht="409.5" customHeight="1"/>
    <row r="249" s="11" customFormat="1" ht="409.5" customHeight="1"/>
    <row r="250" s="11" customFormat="1" ht="409.5" customHeight="1"/>
    <row r="251" s="11" customFormat="1" ht="409.5" customHeight="1"/>
    <row r="252" s="11" customFormat="1" ht="409.5" customHeight="1"/>
    <row r="253" s="11" customFormat="1" ht="409.5" customHeight="1"/>
    <row r="254" s="11" customFormat="1" ht="409.5" customHeight="1"/>
    <row r="255" s="11" customFormat="1" ht="409.5" customHeight="1"/>
    <row r="256" s="11" customFormat="1" ht="409.5" customHeight="1"/>
    <row r="257" s="11" customFormat="1" ht="409.5" customHeight="1"/>
    <row r="258" s="11" customFormat="1" ht="409.5" customHeight="1"/>
    <row r="259" s="11" customFormat="1" ht="409.5" customHeight="1"/>
    <row r="260" s="11" customFormat="1" ht="409.5" customHeight="1"/>
    <row r="261" s="11" customFormat="1" ht="409.5" customHeight="1"/>
    <row r="262" s="11" customFormat="1" ht="409.5" customHeight="1"/>
    <row r="263" s="11" customFormat="1" ht="409.5" customHeight="1"/>
    <row r="264" s="11" customFormat="1" ht="409.5" customHeight="1"/>
    <row r="265" s="11" customFormat="1" ht="409.5" customHeight="1"/>
    <row r="266" s="11" customFormat="1" ht="409.5" customHeight="1"/>
    <row r="267" s="11" customFormat="1" ht="409.5" customHeight="1"/>
    <row r="268" s="11" customFormat="1" ht="409.5" customHeight="1"/>
    <row r="269" s="11" customFormat="1" ht="409.5" customHeight="1"/>
    <row r="270" s="11" customFormat="1" ht="409.5" customHeight="1"/>
    <row r="271" s="11" customFormat="1" ht="409.5" customHeight="1"/>
    <row r="272" s="11" customFormat="1" ht="409.5" customHeight="1"/>
    <row r="273" s="11" customFormat="1" ht="409.5" customHeight="1"/>
    <row r="274" s="11" customFormat="1" ht="409.5" customHeight="1"/>
    <row r="275" s="11" customFormat="1" ht="409.5" customHeight="1"/>
    <row r="276" s="11" customFormat="1" ht="409.5" customHeight="1"/>
    <row r="277" s="11" customFormat="1" ht="409.5" customHeight="1"/>
    <row r="278" s="11" customFormat="1" ht="409.5" customHeight="1"/>
    <row r="279" s="11" customFormat="1" ht="409.5" customHeight="1"/>
    <row r="280" s="11" customFormat="1" ht="409.5" customHeight="1"/>
    <row r="281" s="11" customFormat="1" ht="409.5" customHeight="1"/>
    <row r="282" s="11" customFormat="1" ht="409.5" customHeight="1"/>
    <row r="283" s="11" customFormat="1" ht="409.5" customHeight="1"/>
    <row r="284" s="11" customFormat="1" ht="409.5" customHeight="1"/>
    <row r="285" s="11" customFormat="1" ht="409.5" customHeight="1"/>
    <row r="286" s="11" customFormat="1" ht="409.5" customHeight="1"/>
    <row r="287" s="11" customFormat="1" ht="409.5" customHeight="1"/>
    <row r="288" s="11" customFormat="1" ht="409.5" customHeight="1"/>
    <row r="289" s="11" customFormat="1" ht="409.5" customHeight="1"/>
    <row r="290" s="11" customFormat="1" ht="409.5" customHeight="1"/>
    <row r="291" s="11" customFormat="1" ht="409.5" customHeight="1"/>
    <row r="292" s="11" customFormat="1" ht="409.5" customHeight="1"/>
    <row r="293" s="11" customFormat="1" ht="409.5" customHeight="1"/>
    <row r="294" s="11" customFormat="1" ht="409.5" customHeight="1"/>
    <row r="295" s="11" customFormat="1" ht="409.5" customHeight="1"/>
    <row r="296" s="11" customFormat="1" ht="409.5" customHeight="1"/>
    <row r="297" s="11" customFormat="1" ht="409.5" customHeight="1"/>
    <row r="298" s="11" customFormat="1" ht="409.5" customHeight="1"/>
    <row r="299" s="11" customFormat="1" ht="409.5" customHeight="1"/>
    <row r="300" s="11" customFormat="1" ht="409.5" customHeight="1"/>
    <row r="301" s="11" customFormat="1" ht="409.5" customHeight="1"/>
    <row r="302" s="11" customFormat="1" ht="409.5" customHeight="1"/>
    <row r="303" s="11" customFormat="1" ht="409.5" customHeight="1"/>
    <row r="304" s="11" customFormat="1" ht="409.5" customHeight="1"/>
    <row r="305" s="11" customFormat="1" ht="409.5" customHeight="1"/>
    <row r="306" s="11" customFormat="1" ht="409.5" customHeight="1"/>
    <row r="307" s="11" customFormat="1" ht="409.5" customHeight="1"/>
    <row r="308" s="11" customFormat="1" ht="409.5" customHeight="1"/>
    <row r="309" s="11" customFormat="1" ht="409.5" customHeight="1"/>
    <row r="310" s="11" customFormat="1" ht="409.5" customHeight="1"/>
    <row r="311" s="11" customFormat="1" ht="409.5" customHeight="1"/>
    <row r="312" s="11" customFormat="1" ht="409.5" customHeight="1"/>
    <row r="313" s="11" customFormat="1" ht="409.5" customHeight="1"/>
    <row r="314" s="11" customFormat="1" ht="409.5" customHeight="1"/>
    <row r="315" s="11" customFormat="1" ht="409.5" customHeight="1"/>
    <row r="316" s="11" customFormat="1" ht="409.5" customHeight="1"/>
    <row r="317" s="11" customFormat="1" ht="409.5" customHeight="1"/>
    <row r="318" s="11" customFormat="1" ht="409.5" customHeight="1"/>
    <row r="319" s="11" customFormat="1" ht="409.5" customHeight="1"/>
    <row r="320" s="11" customFormat="1" ht="409.5" customHeight="1"/>
    <row r="321" s="11" customFormat="1" ht="409.5" customHeight="1"/>
    <row r="322" s="11" customFormat="1" ht="409.5" customHeight="1"/>
    <row r="323" s="11" customFormat="1" ht="409.5" customHeight="1"/>
    <row r="324" s="11" customFormat="1" ht="409.5" customHeight="1"/>
    <row r="325" s="11" customFormat="1" ht="409.5" customHeight="1"/>
    <row r="326" s="11" customFormat="1" ht="409.5" customHeight="1"/>
    <row r="327" s="11" customFormat="1" ht="409.5" customHeight="1"/>
    <row r="328" s="11" customFormat="1" ht="409.5" customHeight="1"/>
    <row r="329" s="11" customFormat="1" ht="409.5" customHeight="1"/>
    <row r="330" s="11" customFormat="1" ht="409.5" customHeight="1"/>
    <row r="331" s="11" customFormat="1" ht="409.5" customHeight="1"/>
    <row r="332" s="11" customFormat="1" ht="409.5" customHeight="1"/>
    <row r="333" s="11" customFormat="1" ht="409.5" customHeight="1"/>
    <row r="334" s="11" customFormat="1" ht="409.5" customHeight="1"/>
    <row r="335" s="11" customFormat="1" ht="409.5" customHeight="1"/>
    <row r="336" s="11" customFormat="1" ht="409.5" customHeight="1"/>
    <row r="337" s="11" customFormat="1" ht="409.5" customHeight="1"/>
    <row r="338" s="11" customFormat="1" ht="409.5" customHeight="1"/>
    <row r="339" s="11" customFormat="1" ht="409.5" customHeight="1"/>
    <row r="340" s="11" customFormat="1" ht="409.5" customHeight="1"/>
    <row r="341" s="11" customFormat="1" ht="409.5" customHeight="1"/>
    <row r="342" s="11" customFormat="1" ht="409.5" customHeight="1"/>
    <row r="343" s="11" customFormat="1" ht="409.5" customHeight="1"/>
    <row r="344" s="11" customFormat="1" ht="409.5" customHeight="1"/>
    <row r="345" s="11" customFormat="1" ht="409.5" customHeight="1"/>
    <row r="346" s="11" customFormat="1" ht="409.5" customHeight="1"/>
    <row r="347" s="11" customFormat="1" ht="409.5" customHeight="1"/>
    <row r="348" s="11" customFormat="1" ht="409.5" customHeight="1"/>
    <row r="349" s="11" customFormat="1" ht="409.5" customHeight="1"/>
    <row r="350" s="11" customFormat="1" ht="409.5" customHeight="1"/>
    <row r="351" s="11" customFormat="1" ht="409.5" customHeight="1"/>
    <row r="352" s="11" customFormat="1" ht="409.5" customHeight="1"/>
    <row r="353" s="11" customFormat="1" ht="409.5" customHeight="1"/>
    <row r="354" s="11" customFormat="1" ht="409.5" customHeight="1"/>
    <row r="355" s="11" customFormat="1" ht="409.5" customHeight="1"/>
    <row r="356" s="11" customFormat="1" ht="409.5" customHeight="1"/>
    <row r="357" s="11" customFormat="1" ht="409.5" customHeight="1"/>
    <row r="358" s="11" customFormat="1" ht="409.5" customHeight="1"/>
    <row r="359" s="11" customFormat="1" ht="409.5" customHeight="1"/>
    <row r="360" s="11" customFormat="1" ht="409.5" customHeight="1"/>
    <row r="361" s="11" customFormat="1" ht="409.5" customHeight="1"/>
    <row r="362" s="11" customFormat="1" ht="409.5" customHeight="1"/>
    <row r="363" s="11" customFormat="1" ht="409.5" customHeight="1"/>
    <row r="364" s="11" customFormat="1" ht="409.5" customHeight="1"/>
    <row r="365" s="11" customFormat="1" ht="409.5" customHeight="1"/>
    <row r="366" s="11" customFormat="1" ht="409.5" customHeight="1"/>
    <row r="367" s="11" customFormat="1" ht="409.5" customHeight="1"/>
    <row r="368" s="11" customFormat="1" ht="409.5" customHeight="1"/>
    <row r="369" s="11" customFormat="1" ht="409.5" customHeight="1"/>
    <row r="370" s="11" customFormat="1" ht="409.5" customHeight="1"/>
    <row r="371" s="11" customFormat="1" ht="409.5" customHeight="1"/>
    <row r="372" s="11" customFormat="1" ht="409.5" customHeight="1"/>
    <row r="373" s="11" customFormat="1" ht="409.5" customHeight="1"/>
    <row r="374" s="11" customFormat="1" ht="409.5" customHeight="1"/>
    <row r="375" s="11" customFormat="1" ht="409.5" customHeight="1"/>
    <row r="376" s="11" customFormat="1" ht="409.5" customHeight="1"/>
    <row r="377" s="11" customFormat="1" ht="409.5" customHeight="1"/>
    <row r="378" s="11" customFormat="1" ht="409.5" customHeight="1"/>
    <row r="379" s="11" customFormat="1" ht="409.5" customHeight="1"/>
    <row r="380" s="11" customFormat="1" ht="409.5" customHeight="1"/>
    <row r="381" s="11" customFormat="1" ht="409.5" customHeight="1"/>
    <row r="382" s="11" customFormat="1" ht="409.5" customHeight="1"/>
    <row r="383" s="11" customFormat="1" ht="409.5" customHeight="1"/>
    <row r="384" s="11" customFormat="1" ht="409.5" customHeight="1"/>
    <row r="385" s="11" customFormat="1" ht="409.5" customHeight="1"/>
    <row r="386" s="11" customFormat="1" ht="409.5" customHeight="1"/>
    <row r="387" s="11" customFormat="1" ht="409.5" customHeight="1"/>
    <row r="388" s="11" customFormat="1" ht="409.5" customHeight="1"/>
    <row r="389" s="11" customFormat="1" ht="409.5" customHeight="1"/>
    <row r="390" s="11" customFormat="1" ht="409.5" customHeight="1"/>
    <row r="391" s="11" customFormat="1" ht="409.5" customHeight="1"/>
    <row r="392" s="11" customFormat="1" ht="409.5" customHeight="1"/>
    <row r="393" s="11" customFormat="1" ht="409.5" customHeight="1"/>
    <row r="394" s="11" customFormat="1" ht="409.5" customHeight="1"/>
    <row r="395" s="11" customFormat="1" ht="409.5" customHeight="1"/>
    <row r="396" s="11" customFormat="1" ht="409.5" customHeight="1"/>
    <row r="397" s="11" customFormat="1" ht="409.5" customHeight="1"/>
    <row r="398" s="11" customFormat="1" ht="409.5" customHeight="1"/>
    <row r="399" s="11" customFormat="1" ht="409.5" customHeight="1"/>
    <row r="400" s="11" customFormat="1" ht="409.5" customHeight="1"/>
    <row r="401" s="11" customFormat="1" ht="409.5" customHeight="1"/>
    <row r="402" s="11" customFormat="1" ht="409.5" customHeight="1"/>
    <row r="403" s="11" customFormat="1" ht="409.5" customHeight="1"/>
    <row r="404" s="11" customFormat="1" ht="409.5" customHeight="1"/>
    <row r="405" s="11" customFormat="1" ht="409.5" customHeight="1"/>
    <row r="406" s="11" customFormat="1" ht="409.5" customHeight="1"/>
    <row r="407" s="11" customFormat="1" ht="409.5" customHeight="1"/>
    <row r="408" s="11" customFormat="1" ht="409.5" customHeight="1"/>
    <row r="409" s="11" customFormat="1" ht="409.5" customHeight="1"/>
    <row r="410" s="11" customFormat="1" ht="409.5" customHeight="1"/>
    <row r="411" s="11" customFormat="1" ht="409.5" customHeight="1"/>
    <row r="412" s="11" customFormat="1" ht="409.5" customHeight="1"/>
    <row r="413" s="11" customFormat="1" ht="409.5" customHeight="1"/>
    <row r="414" s="11" customFormat="1" ht="409.5" customHeight="1"/>
    <row r="415" s="11" customFormat="1" ht="409.5" customHeight="1"/>
    <row r="416" s="11" customFormat="1" ht="409.5" customHeight="1"/>
    <row r="417" s="11" customFormat="1" ht="409.5" customHeight="1"/>
    <row r="418" s="11" customFormat="1" ht="409.5" customHeight="1"/>
    <row r="419" s="11" customFormat="1" ht="409.5" customHeight="1"/>
    <row r="420" s="11" customFormat="1" ht="409.5" customHeight="1"/>
    <row r="421" s="11" customFormat="1" ht="409.5" customHeight="1"/>
    <row r="422" s="11" customFormat="1" ht="409.5" customHeight="1"/>
    <row r="423" s="11" customFormat="1" ht="409.5" customHeight="1"/>
    <row r="424" s="11" customFormat="1" ht="409.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1">
    <pageSetUpPr fitToPage="1"/>
  </sheetPr>
  <dimension ref="B1:C49"/>
  <sheetViews>
    <sheetView showGridLines="0" topLeftCell="B16" workbookViewId="0">
      <selection activeCell="F39" sqref="F39"/>
    </sheetView>
  </sheetViews>
  <sheetFormatPr defaultColWidth="9.140625" defaultRowHeight="12.95"/>
  <cols>
    <col min="1" max="1" width="3.85546875" style="11" customWidth="1"/>
    <col min="2" max="2" width="9.140625" style="11"/>
    <col min="3" max="3" width="92" style="11" customWidth="1"/>
    <col min="4" max="16384" width="9.140625" style="11"/>
  </cols>
  <sheetData>
    <row r="1" spans="2:3" ht="12.75">
      <c r="B1" s="10"/>
      <c r="C1" s="501" t="s">
        <v>4</v>
      </c>
    </row>
    <row r="2" spans="2:3" ht="12.75">
      <c r="B2" s="10"/>
      <c r="C2" s="502"/>
    </row>
    <row r="3" spans="2:3" ht="12.75">
      <c r="B3" s="10"/>
      <c r="C3" s="502"/>
    </row>
    <row r="4" spans="2:3" ht="15.75">
      <c r="B4" s="504" t="s">
        <v>5</v>
      </c>
      <c r="C4" s="504"/>
    </row>
    <row r="5" spans="2:3" ht="12.75">
      <c r="B5" s="10"/>
      <c r="C5" s="10"/>
    </row>
    <row r="6" spans="2:3" ht="15.6" customHeight="1">
      <c r="B6" s="506" t="s">
        <v>6</v>
      </c>
      <c r="C6" s="506"/>
    </row>
    <row r="7" spans="2:3" ht="20.100000000000001" customHeight="1">
      <c r="B7" s="506"/>
      <c r="C7" s="506"/>
    </row>
    <row r="8" spans="2:3" ht="28.5" customHeight="1">
      <c r="B8" s="506"/>
      <c r="C8" s="506"/>
    </row>
    <row r="9" spans="2:3" ht="12.75">
      <c r="B9" s="10"/>
      <c r="C9" s="10"/>
    </row>
    <row r="10" spans="2:3" ht="12.75">
      <c r="B10" s="12" t="s">
        <v>7</v>
      </c>
      <c r="C10" s="10"/>
    </row>
    <row r="11" spans="2:3" ht="7.35" customHeight="1">
      <c r="B11" s="12"/>
      <c r="C11" s="10"/>
    </row>
    <row r="12" spans="2:3" ht="12.75">
      <c r="B12" s="505" t="s">
        <v>8</v>
      </c>
      <c r="C12" s="505"/>
    </row>
    <row r="13" spans="2:3" ht="12.75">
      <c r="B13" s="505" t="s">
        <v>9</v>
      </c>
      <c r="C13" s="505"/>
    </row>
    <row r="14" spans="2:3" ht="12.75" customHeight="1">
      <c r="B14" s="503" t="s">
        <v>10</v>
      </c>
      <c r="C14" s="503"/>
    </row>
    <row r="15" spans="2:3" ht="12.75" customHeight="1">
      <c r="B15" s="503" t="s">
        <v>11</v>
      </c>
      <c r="C15" s="503"/>
    </row>
    <row r="16" spans="2:3" ht="12.75">
      <c r="B16" s="13"/>
      <c r="C16" s="14"/>
    </row>
    <row r="17" spans="2:3" ht="12.75">
      <c r="B17" s="9" t="s">
        <v>12</v>
      </c>
      <c r="C17" s="14"/>
    </row>
    <row r="18" spans="2:3" ht="9" customHeight="1">
      <c r="B18" s="9"/>
      <c r="C18" s="14"/>
    </row>
    <row r="19" spans="2:3" ht="40.5" customHeight="1">
      <c r="B19" s="17">
        <v>1</v>
      </c>
      <c r="C19" s="15" t="s">
        <v>13</v>
      </c>
    </row>
    <row r="20" spans="2:3" ht="9" customHeight="1">
      <c r="B20" s="9"/>
      <c r="C20" s="14"/>
    </row>
    <row r="21" spans="2:3" ht="31.5" customHeight="1">
      <c r="B21" s="17">
        <v>2</v>
      </c>
      <c r="C21" s="15" t="s">
        <v>14</v>
      </c>
    </row>
    <row r="22" spans="2:3" ht="9" customHeight="1">
      <c r="B22" s="9"/>
      <c r="C22" s="14"/>
    </row>
    <row r="23" spans="2:3" ht="40.5" customHeight="1">
      <c r="B23" s="17">
        <v>3</v>
      </c>
      <c r="C23" s="15" t="s">
        <v>15</v>
      </c>
    </row>
    <row r="24" spans="2:3" ht="9" customHeight="1">
      <c r="B24" s="9"/>
      <c r="C24" s="14"/>
    </row>
    <row r="25" spans="2:3" ht="25.5" customHeight="1">
      <c r="B25" s="17">
        <v>4</v>
      </c>
      <c r="C25" s="15" t="s">
        <v>16</v>
      </c>
    </row>
    <row r="26" spans="2:3" ht="9" customHeight="1">
      <c r="B26" s="9"/>
      <c r="C26" s="14"/>
    </row>
    <row r="27" spans="2:3" ht="25.5" customHeight="1">
      <c r="B27" s="17">
        <v>5</v>
      </c>
      <c r="C27" s="15" t="s">
        <v>17</v>
      </c>
    </row>
    <row r="28" spans="2:3" ht="9" customHeight="1">
      <c r="B28" s="9"/>
      <c r="C28" s="14"/>
    </row>
    <row r="29" spans="2:3" ht="25.5" customHeight="1">
      <c r="B29" s="17">
        <v>6</v>
      </c>
      <c r="C29" s="15" t="s">
        <v>18</v>
      </c>
    </row>
    <row r="30" spans="2:3" ht="9" customHeight="1">
      <c r="B30" s="9"/>
      <c r="C30" s="14"/>
    </row>
    <row r="31" spans="2:3" ht="25.5" customHeight="1">
      <c r="B31" s="17">
        <v>7</v>
      </c>
      <c r="C31" s="15" t="s">
        <v>19</v>
      </c>
    </row>
    <row r="32" spans="2:3" ht="9" customHeight="1">
      <c r="B32" s="9"/>
      <c r="C32" s="14"/>
    </row>
    <row r="33" spans="2:3" ht="25.5" customHeight="1">
      <c r="B33" s="17">
        <v>8</v>
      </c>
      <c r="C33" s="15" t="s">
        <v>20</v>
      </c>
    </row>
    <row r="34" spans="2:3" ht="9" customHeight="1">
      <c r="B34" s="9"/>
      <c r="C34" s="14"/>
    </row>
    <row r="35" spans="2:3" ht="40.5" customHeight="1">
      <c r="B35" s="17">
        <v>9</v>
      </c>
      <c r="C35" s="16" t="s">
        <v>21</v>
      </c>
    </row>
    <row r="36" spans="2:3" ht="9" customHeight="1">
      <c r="B36" s="9"/>
      <c r="C36" s="14"/>
    </row>
    <row r="37" spans="2:3" ht="25.5" customHeight="1">
      <c r="B37" s="17">
        <v>10</v>
      </c>
      <c r="C37" s="15" t="s">
        <v>22</v>
      </c>
    </row>
    <row r="38" spans="2:3" ht="9" customHeight="1">
      <c r="B38" s="9"/>
      <c r="C38" s="14"/>
    </row>
    <row r="39" spans="2:3" ht="57" customHeight="1">
      <c r="B39" s="17">
        <v>11</v>
      </c>
      <c r="C39" s="16" t="s">
        <v>23</v>
      </c>
    </row>
    <row r="40" spans="2:3" ht="9" customHeight="1">
      <c r="B40" s="9"/>
      <c r="C40" s="14"/>
    </row>
    <row r="41" spans="2:3" ht="25.5" customHeight="1">
      <c r="B41" s="17">
        <v>12</v>
      </c>
      <c r="C41" s="15" t="s">
        <v>24</v>
      </c>
    </row>
    <row r="42" spans="2:3" ht="9" customHeight="1">
      <c r="B42" s="9"/>
      <c r="C42" s="14"/>
    </row>
    <row r="43" spans="2:3" ht="76.5">
      <c r="B43" s="17">
        <v>13</v>
      </c>
      <c r="C43" s="16" t="s">
        <v>25</v>
      </c>
    </row>
    <row r="44" spans="2:3" ht="9" customHeight="1">
      <c r="B44" s="9"/>
      <c r="C44" s="14"/>
    </row>
    <row r="45" spans="2:3" ht="12.75">
      <c r="B45" s="17">
        <v>14</v>
      </c>
      <c r="C45" s="16" t="s">
        <v>26</v>
      </c>
    </row>
    <row r="46" spans="2:3" ht="9" customHeight="1">
      <c r="B46" s="9"/>
      <c r="C46" s="14"/>
    </row>
    <row r="47" spans="2:3" ht="25.5">
      <c r="B47" s="17">
        <v>15</v>
      </c>
      <c r="C47" s="16" t="s">
        <v>27</v>
      </c>
    </row>
    <row r="48" spans="2:3" ht="9" customHeight="1">
      <c r="B48" s="9"/>
      <c r="C48" s="14"/>
    </row>
    <row r="49" spans="2:3" ht="25.5">
      <c r="B49" s="17" t="s">
        <v>28</v>
      </c>
      <c r="C49" s="16" t="s">
        <v>29</v>
      </c>
    </row>
  </sheetData>
  <sheetProtection password="8318" sheet="1" objects="1" scenarios="1"/>
  <mergeCells count="7">
    <mergeCell ref="C1:C3"/>
    <mergeCell ref="B14:C14"/>
    <mergeCell ref="B15:C15"/>
    <mergeCell ref="B4:C4"/>
    <mergeCell ref="B12:C12"/>
    <mergeCell ref="B13:C13"/>
    <mergeCell ref="B6:C8"/>
  </mergeCells>
  <phoneticPr fontId="18" type="noConversion"/>
  <printOptions horizontalCentered="1"/>
  <pageMargins left="0.75" right="0.75" top="0.59055118110236227" bottom="0.59055118110236227" header="0.51181102362204722" footer="0.51181102362204722"/>
  <pageSetup paperSize="9" scale="94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R60"/>
  <sheetViews>
    <sheetView showGridLines="0" zoomScale="150" zoomScaleNormal="150" workbookViewId="0">
      <selection activeCell="E1" sqref="E1"/>
    </sheetView>
  </sheetViews>
  <sheetFormatPr defaultColWidth="8.85546875" defaultRowHeight="11.1"/>
  <cols>
    <col min="1" max="1" width="34.140625" style="18" bestFit="1" customWidth="1"/>
    <col min="2" max="2" width="11.85546875" style="18" customWidth="1"/>
    <col min="3" max="3" width="15.85546875" style="18" customWidth="1"/>
    <col min="4" max="4" width="16.42578125" style="18" customWidth="1"/>
    <col min="5" max="5" width="13.85546875" style="18" customWidth="1"/>
    <col min="6" max="16384" width="8.85546875" style="18"/>
  </cols>
  <sheetData>
    <row r="1" spans="1:5" ht="12.75">
      <c r="A1" s="22"/>
      <c r="B1" s="23"/>
      <c r="C1" s="23"/>
      <c r="D1" s="29" t="s">
        <v>30</v>
      </c>
      <c r="E1" s="267" t="s">
        <v>31</v>
      </c>
    </row>
    <row r="2" spans="1:5" ht="11.25">
      <c r="A2" s="5"/>
      <c r="B2" s="5"/>
      <c r="C2" s="5"/>
      <c r="D2" s="5"/>
      <c r="E2" s="5"/>
    </row>
    <row r="3" spans="1:5" ht="11.25">
      <c r="A3" s="5"/>
      <c r="B3" s="5"/>
      <c r="C3" s="5"/>
      <c r="D3" s="5"/>
      <c r="E3" s="5"/>
    </row>
    <row r="4" spans="1:5" ht="15.75">
      <c r="A4" s="512" t="s">
        <v>32</v>
      </c>
      <c r="B4" s="512"/>
      <c r="C4" s="512"/>
      <c r="D4" s="512"/>
      <c r="E4" s="512"/>
    </row>
    <row r="5" spans="1:5" ht="11.25">
      <c r="A5" s="5"/>
      <c r="B5" s="5"/>
      <c r="C5" s="5"/>
      <c r="D5" s="5"/>
      <c r="E5" s="1"/>
    </row>
    <row r="6" spans="1:5" ht="15">
      <c r="A6" s="513" t="s">
        <v>33</v>
      </c>
      <c r="B6" s="513"/>
      <c r="C6" s="513"/>
      <c r="D6" s="513"/>
      <c r="E6" s="513"/>
    </row>
    <row r="7" spans="1:5" ht="11.25">
      <c r="A7" s="5"/>
      <c r="B7" s="5"/>
      <c r="C7" s="5"/>
      <c r="D7" s="5"/>
      <c r="E7" s="1"/>
    </row>
    <row r="8" spans="1:5" ht="11.25">
      <c r="A8" s="5"/>
      <c r="B8" s="5"/>
      <c r="C8" s="24"/>
      <c r="D8" s="25"/>
      <c r="E8" s="26"/>
    </row>
    <row r="9" spans="1:5" ht="11.25">
      <c r="A9" s="6" t="s">
        <v>34</v>
      </c>
      <c r="B9" s="406" t="s">
        <v>35</v>
      </c>
      <c r="C9" s="24"/>
      <c r="D9" s="25"/>
      <c r="E9" s="26"/>
    </row>
    <row r="10" spans="1:5" ht="11.25">
      <c r="A10" s="2"/>
      <c r="B10" s="407"/>
      <c r="C10" s="24"/>
      <c r="D10" s="25"/>
      <c r="E10" s="26"/>
    </row>
    <row r="11" spans="1:5" ht="11.25">
      <c r="A11" s="6" t="s">
        <v>36</v>
      </c>
      <c r="B11" s="408">
        <v>2020</v>
      </c>
      <c r="C11" s="389" t="s">
        <v>37</v>
      </c>
      <c r="D11" s="25"/>
      <c r="E11" s="26"/>
    </row>
    <row r="12" spans="1:5" ht="11.25">
      <c r="A12" s="2"/>
      <c r="B12" s="407"/>
      <c r="C12" s="439" t="s">
        <v>38</v>
      </c>
      <c r="D12" s="25"/>
      <c r="E12" s="26"/>
    </row>
    <row r="13" spans="1:5" ht="11.25">
      <c r="A13" s="6" t="s">
        <v>39</v>
      </c>
      <c r="B13" s="408">
        <v>30</v>
      </c>
      <c r="C13" s="390">
        <f>+B13/30</f>
        <v>1</v>
      </c>
      <c r="D13" s="525" t="s">
        <v>40</v>
      </c>
      <c r="E13" s="26"/>
    </row>
    <row r="14" spans="1:5" ht="11.25">
      <c r="A14" s="6" t="s">
        <v>41</v>
      </c>
      <c r="B14" s="409">
        <v>30</v>
      </c>
      <c r="C14" s="390">
        <f>+B14/30</f>
        <v>1</v>
      </c>
      <c r="D14" s="525"/>
      <c r="E14" s="26"/>
    </row>
    <row r="15" spans="1:5" ht="11.25">
      <c r="A15" s="6" t="s">
        <v>42</v>
      </c>
      <c r="B15" s="409">
        <v>15</v>
      </c>
      <c r="C15" s="390">
        <f>+B15/30</f>
        <v>0.5</v>
      </c>
      <c r="D15" s="525"/>
      <c r="E15" s="26"/>
    </row>
    <row r="16" spans="1:5" ht="11.25">
      <c r="A16" s="6" t="s">
        <v>43</v>
      </c>
      <c r="B16" s="442"/>
      <c r="C16" s="440">
        <v>4</v>
      </c>
      <c r="D16" s="441" t="s">
        <v>44</v>
      </c>
      <c r="E16" s="26"/>
    </row>
    <row r="17" spans="1:5" ht="11.25">
      <c r="A17" s="2"/>
      <c r="B17" s="407"/>
      <c r="C17" s="24"/>
      <c r="D17" s="25"/>
      <c r="E17" s="26"/>
    </row>
    <row r="18" spans="1:5" ht="11.25">
      <c r="A18" s="6" t="s">
        <v>45</v>
      </c>
      <c r="B18" s="410">
        <v>0.23</v>
      </c>
      <c r="C18" s="524" t="s">
        <v>46</v>
      </c>
      <c r="D18" s="27"/>
      <c r="E18" s="28"/>
    </row>
    <row r="19" spans="1:5" ht="11.25">
      <c r="A19" s="6" t="s">
        <v>47</v>
      </c>
      <c r="B19" s="410">
        <v>0.23</v>
      </c>
      <c r="C19" s="524"/>
      <c r="D19" s="27"/>
      <c r="E19" s="28"/>
    </row>
    <row r="20" spans="1:5" ht="11.25">
      <c r="A20" s="6" t="s">
        <v>48</v>
      </c>
      <c r="B20" s="410">
        <v>0.23</v>
      </c>
      <c r="C20" s="524"/>
      <c r="D20" s="27"/>
      <c r="E20" s="28"/>
    </row>
    <row r="21" spans="1:5" ht="11.25">
      <c r="A21" s="6" t="s">
        <v>49</v>
      </c>
      <c r="B21" s="410">
        <v>0.23</v>
      </c>
      <c r="C21" s="524"/>
      <c r="D21" s="27"/>
      <c r="E21" s="28"/>
    </row>
    <row r="22" spans="1:5" ht="11.25">
      <c r="A22" s="6" t="s">
        <v>50</v>
      </c>
      <c r="B22" s="410">
        <v>0.23</v>
      </c>
      <c r="C22" s="524"/>
      <c r="D22" s="27"/>
      <c r="E22" s="28"/>
    </row>
    <row r="23" spans="1:5" ht="11.25">
      <c r="A23" s="2"/>
      <c r="B23" s="407"/>
      <c r="C23" s="24"/>
      <c r="D23" s="25"/>
      <c r="E23" s="26"/>
    </row>
    <row r="24" spans="1:5" ht="11.25">
      <c r="A24" s="6" t="s">
        <v>51</v>
      </c>
      <c r="B24" s="410">
        <v>0.23749999999999999</v>
      </c>
      <c r="C24" s="523" t="s">
        <v>52</v>
      </c>
      <c r="D24" s="25"/>
      <c r="E24" s="26"/>
    </row>
    <row r="25" spans="1:5" ht="11.25">
      <c r="A25" s="6" t="s">
        <v>53</v>
      </c>
      <c r="B25" s="410">
        <v>0.23749999999999999</v>
      </c>
      <c r="C25" s="523"/>
      <c r="D25" s="25"/>
      <c r="E25" s="26"/>
    </row>
    <row r="26" spans="1:5" ht="11.25">
      <c r="A26" s="6" t="s">
        <v>54</v>
      </c>
      <c r="B26" s="410">
        <v>0.11</v>
      </c>
      <c r="C26" s="523"/>
      <c r="D26" s="25"/>
      <c r="E26" s="26"/>
    </row>
    <row r="27" spans="1:5" ht="11.25">
      <c r="A27" s="6" t="s">
        <v>55</v>
      </c>
      <c r="B27" s="410">
        <v>0.11</v>
      </c>
      <c r="C27" s="523"/>
      <c r="D27" s="25"/>
      <c r="E27" s="26"/>
    </row>
    <row r="28" spans="1:5" ht="11.25">
      <c r="A28" s="6" t="s">
        <v>56</v>
      </c>
      <c r="B28" s="411">
        <v>0.15</v>
      </c>
      <c r="C28" s="389" t="s">
        <v>57</v>
      </c>
      <c r="D28" s="25"/>
      <c r="E28" s="26"/>
    </row>
    <row r="29" spans="1:5" ht="13.5" customHeight="1">
      <c r="A29" s="6" t="s">
        <v>58</v>
      </c>
      <c r="B29" s="410">
        <v>0.25</v>
      </c>
      <c r="C29" s="389" t="s">
        <v>59</v>
      </c>
      <c r="D29" s="25"/>
      <c r="E29" s="26"/>
    </row>
    <row r="30" spans="1:5" ht="11.25">
      <c r="A30" s="2"/>
      <c r="B30" s="407"/>
      <c r="C30" s="24"/>
      <c r="D30" s="25"/>
      <c r="E30" s="26"/>
    </row>
    <row r="31" spans="1:5" ht="11.25">
      <c r="A31" s="6" t="s">
        <v>60</v>
      </c>
      <c r="B31" s="410">
        <v>0.02</v>
      </c>
      <c r="C31" s="507" t="s">
        <v>61</v>
      </c>
      <c r="D31" s="25"/>
      <c r="E31" s="26"/>
    </row>
    <row r="32" spans="1:5" ht="11.25">
      <c r="A32" s="6" t="s">
        <v>62</v>
      </c>
      <c r="B32" s="410">
        <v>0.04</v>
      </c>
      <c r="C32" s="507"/>
      <c r="D32" s="25"/>
      <c r="E32" s="26"/>
    </row>
    <row r="33" spans="1:5" ht="11.25">
      <c r="A33" s="6" t="s">
        <v>63</v>
      </c>
      <c r="B33" s="410">
        <v>0.05</v>
      </c>
      <c r="C33" s="507"/>
      <c r="D33" s="25"/>
      <c r="E33" s="26"/>
    </row>
    <row r="34" spans="1:5" ht="11.25">
      <c r="A34" s="5"/>
      <c r="B34" s="412"/>
      <c r="C34" s="24"/>
      <c r="D34" s="25"/>
      <c r="E34" s="26"/>
    </row>
    <row r="35" spans="1:5" ht="11.25">
      <c r="A35" s="6" t="s">
        <v>64</v>
      </c>
      <c r="B35" s="413">
        <v>2.9000000000000001E-2</v>
      </c>
      <c r="C35" s="508" t="s">
        <v>65</v>
      </c>
      <c r="D35" s="509"/>
      <c r="E35" s="510"/>
    </row>
    <row r="36" spans="1:5" ht="11.25">
      <c r="A36" s="6" t="s">
        <v>66</v>
      </c>
      <c r="B36" s="413">
        <v>0.05</v>
      </c>
      <c r="C36" s="508" t="s">
        <v>67</v>
      </c>
      <c r="D36" s="509"/>
      <c r="E36" s="510"/>
    </row>
    <row r="37" spans="1:5" ht="11.25">
      <c r="A37" s="6" t="s">
        <v>68</v>
      </c>
      <c r="B37" s="413">
        <v>1</v>
      </c>
      <c r="C37" s="508" t="s">
        <v>69</v>
      </c>
      <c r="D37" s="509"/>
      <c r="E37" s="510"/>
    </row>
    <row r="38" spans="1:5" ht="10.35" customHeight="1">
      <c r="A38" s="6" t="s">
        <v>70</v>
      </c>
      <c r="B38" s="414">
        <v>0</v>
      </c>
      <c r="C38" s="514" t="s">
        <v>71</v>
      </c>
      <c r="D38" s="515"/>
      <c r="E38" s="516"/>
    </row>
    <row r="39" spans="1:5" ht="11.25">
      <c r="A39" s="5" t="s">
        <v>72</v>
      </c>
      <c r="B39" s="5"/>
      <c r="C39" s="517"/>
      <c r="D39" s="518"/>
      <c r="E39" s="519"/>
    </row>
    <row r="40" spans="1:5" ht="11.25">
      <c r="A40" s="5"/>
      <c r="B40" s="5"/>
      <c r="C40" s="520"/>
      <c r="D40" s="521"/>
      <c r="E40" s="522"/>
    </row>
    <row r="41" spans="1:5" ht="11.25">
      <c r="A41" s="8" t="s">
        <v>73</v>
      </c>
      <c r="B41" s="5"/>
      <c r="C41" s="24"/>
      <c r="D41" s="25"/>
      <c r="E41" s="26"/>
    </row>
    <row r="42" spans="1:5" ht="11.25">
      <c r="A42" s="5"/>
      <c r="B42" s="5"/>
      <c r="C42" s="24"/>
      <c r="D42" s="25"/>
      <c r="E42" s="26"/>
    </row>
    <row r="43" spans="1:5" ht="11.25">
      <c r="A43" s="4" t="s">
        <v>74</v>
      </c>
      <c r="B43" s="407"/>
      <c r="C43" s="45"/>
      <c r="D43" s="27"/>
      <c r="E43" s="28"/>
    </row>
    <row r="44" spans="1:5" ht="19.350000000000001" customHeight="1">
      <c r="A44" s="511" t="s">
        <v>75</v>
      </c>
      <c r="B44" s="511"/>
      <c r="C44" s="511"/>
      <c r="D44" s="511"/>
      <c r="E44" s="511"/>
    </row>
    <row r="45" spans="1:5" ht="19.350000000000001" customHeight="1">
      <c r="A45" s="511"/>
      <c r="B45" s="511"/>
      <c r="C45" s="511"/>
      <c r="D45" s="511"/>
      <c r="E45" s="511"/>
    </row>
    <row r="46" spans="1:5" ht="15.6" customHeight="1">
      <c r="A46" s="511"/>
      <c r="B46" s="511"/>
      <c r="C46" s="511"/>
      <c r="D46" s="511"/>
      <c r="E46" s="511"/>
    </row>
    <row r="47" spans="1:5" ht="17.100000000000001" customHeight="1">
      <c r="A47" s="511"/>
      <c r="B47" s="511"/>
      <c r="C47" s="511"/>
      <c r="D47" s="511"/>
      <c r="E47" s="511"/>
    </row>
    <row r="48" spans="1:5" ht="17.25" customHeight="1">
      <c r="A48" s="511"/>
      <c r="B48" s="511"/>
      <c r="C48" s="511"/>
      <c r="D48" s="511"/>
      <c r="E48" s="511"/>
    </row>
    <row r="49" spans="1:18" ht="11.25">
      <c r="A49" s="488"/>
      <c r="B49" s="488"/>
      <c r="C49" s="488"/>
      <c r="D49" s="488"/>
      <c r="E49" s="488"/>
    </row>
    <row r="50" spans="1:18" ht="10.35" customHeight="1">
      <c r="A50" s="4" t="s">
        <v>76</v>
      </c>
      <c r="B50" s="407"/>
      <c r="C50" s="45"/>
      <c r="D50" s="27"/>
      <c r="E50" s="28"/>
    </row>
    <row r="51" spans="1:18" ht="11.25">
      <c r="A51" s="511" t="s">
        <v>77</v>
      </c>
      <c r="B51" s="511"/>
      <c r="C51" s="511"/>
      <c r="D51" s="511"/>
      <c r="E51" s="511"/>
    </row>
    <row r="52" spans="1:18" ht="11.25">
      <c r="A52" s="511"/>
      <c r="B52" s="511"/>
      <c r="C52" s="511"/>
      <c r="D52" s="511"/>
      <c r="E52" s="511"/>
    </row>
    <row r="53" spans="1:18" ht="11.25">
      <c r="A53" s="511"/>
      <c r="B53" s="511"/>
      <c r="C53" s="511"/>
      <c r="D53" s="511"/>
      <c r="E53" s="511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 ht="11.25">
      <c r="A54" s="511"/>
      <c r="B54" s="511"/>
      <c r="C54" s="511"/>
      <c r="D54" s="511"/>
      <c r="E54" s="51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 ht="11.25">
      <c r="A55" s="511"/>
      <c r="B55" s="511"/>
      <c r="C55" s="511"/>
      <c r="D55" s="511"/>
      <c r="E55" s="511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 ht="11.25">
      <c r="A56" s="19"/>
      <c r="B56" s="19"/>
      <c r="C56" s="19"/>
      <c r="D56" s="21"/>
      <c r="E56" s="19"/>
      <c r="F56" s="20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 ht="11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 ht="11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 ht="11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 ht="11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</sheetData>
  <sheetProtection password="8318" sheet="1"/>
  <mergeCells count="12">
    <mergeCell ref="C31:C33"/>
    <mergeCell ref="C37:E37"/>
    <mergeCell ref="A44:E48"/>
    <mergeCell ref="A51:E55"/>
    <mergeCell ref="A4:E4"/>
    <mergeCell ref="C35:E35"/>
    <mergeCell ref="C36:E36"/>
    <mergeCell ref="A6:E6"/>
    <mergeCell ref="C38:E40"/>
    <mergeCell ref="C24:C27"/>
    <mergeCell ref="C18:C22"/>
    <mergeCell ref="D13:D1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orientation="portrait" horizontalDpi="4294967293" verticalDpi="200" r:id="rId1"/>
  <headerFooter alignWithMargins="0">
    <oddFooter>&amp;C&amp;"Arial,Normal"&amp;8IAPMEI&amp;R&amp;"Arial,Normal"&amp;8&amp;N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203"/>
  <sheetViews>
    <sheetView showGridLines="0" zoomScale="130" zoomScaleNormal="130" workbookViewId="0">
      <selection activeCell="E6" sqref="E6"/>
    </sheetView>
  </sheetViews>
  <sheetFormatPr defaultColWidth="8.85546875" defaultRowHeight="11.1"/>
  <cols>
    <col min="1" max="1" width="29.5703125" style="50" customWidth="1"/>
    <col min="2" max="2" width="5.85546875" style="50" customWidth="1"/>
    <col min="3" max="3" width="8.85546875" style="50" bestFit="1" customWidth="1"/>
    <col min="4" max="4" width="9.42578125" style="50" customWidth="1"/>
    <col min="5" max="13" width="8.85546875" style="50" bestFit="1" customWidth="1"/>
    <col min="14" max="19" width="11.42578125" style="50" customWidth="1"/>
    <col min="20" max="16384" width="8.85546875" style="50"/>
  </cols>
  <sheetData>
    <row r="1" spans="1:13" ht="14.25">
      <c r="A1" s="46"/>
      <c r="B1" s="46"/>
      <c r="C1" s="47"/>
      <c r="D1" s="47"/>
      <c r="E1" s="47"/>
      <c r="F1" s="47"/>
      <c r="G1" s="47"/>
      <c r="H1" s="47"/>
      <c r="I1" s="47"/>
      <c r="J1" s="47"/>
      <c r="K1" s="47"/>
      <c r="L1" s="48" t="s">
        <v>30</v>
      </c>
      <c r="M1" s="49" t="str">
        <f>+Pressupostos!E1</f>
        <v>DUQUESA</v>
      </c>
    </row>
    <row r="2" spans="1:13" ht="13.5">
      <c r="A2" s="51" t="s">
        <v>78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52" t="str">
        <f>+Pressupostos!B9</f>
        <v>Euros</v>
      </c>
    </row>
    <row r="3" spans="1:13" ht="13.5">
      <c r="A3" s="51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52"/>
    </row>
    <row r="4" spans="1:13" ht="16.5">
      <c r="A4" s="526" t="s">
        <v>79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</row>
    <row r="5" spans="1:13" ht="13.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</row>
    <row r="6" spans="1:13" ht="13.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</row>
    <row r="7" spans="1:13" ht="13.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</row>
    <row r="8" spans="1:13" ht="13.5">
      <c r="A8" s="531"/>
      <c r="B8" s="531"/>
      <c r="C8" s="493">
        <f>+Pressupostos!B11</f>
        <v>2020</v>
      </c>
      <c r="D8" s="493">
        <f>+C8+1</f>
        <v>2021</v>
      </c>
      <c r="E8" s="493">
        <f t="shared" ref="E8:M8" si="0">+D8+1</f>
        <v>2022</v>
      </c>
      <c r="F8" s="493">
        <f t="shared" si="0"/>
        <v>2023</v>
      </c>
      <c r="G8" s="493">
        <f t="shared" si="0"/>
        <v>2024</v>
      </c>
      <c r="H8" s="493">
        <f t="shared" si="0"/>
        <v>2025</v>
      </c>
      <c r="I8" s="493">
        <f t="shared" si="0"/>
        <v>2026</v>
      </c>
      <c r="J8" s="493">
        <f t="shared" si="0"/>
        <v>2027</v>
      </c>
      <c r="K8" s="493">
        <f t="shared" si="0"/>
        <v>2028</v>
      </c>
      <c r="L8" s="493">
        <f t="shared" si="0"/>
        <v>2029</v>
      </c>
      <c r="M8" s="493">
        <f t="shared" si="0"/>
        <v>2030</v>
      </c>
    </row>
    <row r="9" spans="1:13" ht="13.5">
      <c r="A9" s="494" t="s">
        <v>80</v>
      </c>
      <c r="B9" s="492"/>
      <c r="C9" s="35"/>
      <c r="D9" s="30">
        <v>0.01</v>
      </c>
      <c r="E9" s="30">
        <v>0.01</v>
      </c>
      <c r="F9" s="30">
        <v>0.01</v>
      </c>
      <c r="G9" s="30">
        <v>0.01</v>
      </c>
      <c r="H9" s="30">
        <v>0.01</v>
      </c>
      <c r="I9" s="30">
        <v>0.01</v>
      </c>
      <c r="J9" s="30">
        <v>0.01</v>
      </c>
      <c r="K9" s="30">
        <v>0.01</v>
      </c>
      <c r="L9" s="30">
        <v>0.01</v>
      </c>
      <c r="M9" s="30">
        <v>0.01</v>
      </c>
    </row>
    <row r="10" spans="1:13" ht="13.5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</row>
    <row r="11" spans="1:13" ht="13.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</row>
    <row r="12" spans="1:13" ht="13.5">
      <c r="A12" s="529" t="s">
        <v>81</v>
      </c>
      <c r="B12" s="530"/>
      <c r="C12" s="493">
        <f t="shared" ref="C12:M12" si="1">+C8</f>
        <v>2020</v>
      </c>
      <c r="D12" s="493">
        <f t="shared" si="1"/>
        <v>2021</v>
      </c>
      <c r="E12" s="493">
        <f t="shared" si="1"/>
        <v>2022</v>
      </c>
      <c r="F12" s="493">
        <f t="shared" si="1"/>
        <v>2023</v>
      </c>
      <c r="G12" s="493">
        <f t="shared" si="1"/>
        <v>2024</v>
      </c>
      <c r="H12" s="493">
        <f t="shared" si="1"/>
        <v>2025</v>
      </c>
      <c r="I12" s="493">
        <f t="shared" si="1"/>
        <v>2026</v>
      </c>
      <c r="J12" s="493">
        <f t="shared" si="1"/>
        <v>2027</v>
      </c>
      <c r="K12" s="493">
        <f t="shared" si="1"/>
        <v>2028</v>
      </c>
      <c r="L12" s="493">
        <f t="shared" si="1"/>
        <v>2029</v>
      </c>
      <c r="M12" s="493">
        <f t="shared" si="1"/>
        <v>2030</v>
      </c>
    </row>
    <row r="13" spans="1:13" ht="13.5">
      <c r="A13" s="532" t="s">
        <v>82</v>
      </c>
      <c r="B13" s="533"/>
      <c r="C13" s="270">
        <f>+C16*C14</f>
        <v>17040</v>
      </c>
      <c r="D13" s="270">
        <f>+D16*D14</f>
        <v>30978.719999999998</v>
      </c>
      <c r="E13" s="270">
        <f t="shared" ref="E13:M13" si="2">+E16*E14</f>
        <v>53190.462240000001</v>
      </c>
      <c r="F13" s="270">
        <f t="shared" si="2"/>
        <v>80583.550293599998</v>
      </c>
      <c r="G13" s="270">
        <f t="shared" si="2"/>
        <v>113945.1401151504</v>
      </c>
      <c r="H13" s="270">
        <f t="shared" si="2"/>
        <v>149609.96897119249</v>
      </c>
      <c r="I13" s="270">
        <f t="shared" si="2"/>
        <v>181327.2823930853</v>
      </c>
      <c r="J13" s="270">
        <f t="shared" si="2"/>
        <v>210611.63849956854</v>
      </c>
      <c r="K13" s="270">
        <f t="shared" si="2"/>
        <v>229735.17527532935</v>
      </c>
      <c r="L13" s="270">
        <f t="shared" si="2"/>
        <v>238993.50283892514</v>
      </c>
      <c r="M13" s="270">
        <f t="shared" si="2"/>
        <v>248624.94100333384</v>
      </c>
    </row>
    <row r="14" spans="1:13" ht="13.5">
      <c r="A14" s="55" t="s">
        <v>83</v>
      </c>
      <c r="B14" s="56"/>
      <c r="C14" s="271">
        <v>6000</v>
      </c>
      <c r="D14" s="272">
        <f t="shared" ref="D14:M14" si="3">+C14*(1+D15)</f>
        <v>10800</v>
      </c>
      <c r="E14" s="272">
        <f t="shared" si="3"/>
        <v>18360</v>
      </c>
      <c r="F14" s="272">
        <f t="shared" si="3"/>
        <v>27540</v>
      </c>
      <c r="G14" s="272">
        <f t="shared" si="3"/>
        <v>38556</v>
      </c>
      <c r="H14" s="272">
        <f t="shared" si="3"/>
        <v>50122.8</v>
      </c>
      <c r="I14" s="272">
        <f t="shared" si="3"/>
        <v>60147.360000000001</v>
      </c>
      <c r="J14" s="272">
        <f t="shared" si="3"/>
        <v>69169.463999999993</v>
      </c>
      <c r="K14" s="272">
        <f t="shared" si="3"/>
        <v>74703.02111999999</v>
      </c>
      <c r="L14" s="272">
        <f t="shared" si="3"/>
        <v>76944.111753599995</v>
      </c>
      <c r="M14" s="272">
        <f t="shared" si="3"/>
        <v>79252.435106207995</v>
      </c>
    </row>
    <row r="15" spans="1:13" ht="13.5">
      <c r="A15" s="55" t="s">
        <v>84</v>
      </c>
      <c r="B15" s="56"/>
      <c r="C15" s="55"/>
      <c r="D15" s="274">
        <v>0.8</v>
      </c>
      <c r="E15" s="274">
        <v>0.7</v>
      </c>
      <c r="F15" s="274">
        <v>0.5</v>
      </c>
      <c r="G15" s="274">
        <v>0.4</v>
      </c>
      <c r="H15" s="274">
        <v>0.3</v>
      </c>
      <c r="I15" s="274">
        <v>0.2</v>
      </c>
      <c r="J15" s="274">
        <v>0.15</v>
      </c>
      <c r="K15" s="274">
        <v>0.08</v>
      </c>
      <c r="L15" s="274">
        <v>0.03</v>
      </c>
      <c r="M15" s="274">
        <v>0.03</v>
      </c>
    </row>
    <row r="16" spans="1:13" ht="13.5">
      <c r="A16" s="55" t="s">
        <v>85</v>
      </c>
      <c r="B16" s="56"/>
      <c r="C16" s="275">
        <v>2.84</v>
      </c>
      <c r="D16" s="276">
        <f t="shared" ref="D16:M16" si="4">+C16*(1+D$9)</f>
        <v>2.8683999999999998</v>
      </c>
      <c r="E16" s="276">
        <f t="shared" si="4"/>
        <v>2.897084</v>
      </c>
      <c r="F16" s="276">
        <f t="shared" si="4"/>
        <v>2.9260548399999999</v>
      </c>
      <c r="G16" s="276">
        <f t="shared" si="4"/>
        <v>2.9553153883999999</v>
      </c>
      <c r="H16" s="276">
        <f t="shared" si="4"/>
        <v>2.984868542284</v>
      </c>
      <c r="I16" s="276">
        <f t="shared" si="4"/>
        <v>3.0147172277068401</v>
      </c>
      <c r="J16" s="276">
        <f t="shared" si="4"/>
        <v>3.0448643999839087</v>
      </c>
      <c r="K16" s="276">
        <f t="shared" si="4"/>
        <v>3.0753130439837477</v>
      </c>
      <c r="L16" s="276">
        <f t="shared" si="4"/>
        <v>3.1060661744235851</v>
      </c>
      <c r="M16" s="276">
        <f t="shared" si="4"/>
        <v>3.1371268361678211</v>
      </c>
    </row>
    <row r="17" spans="1:13" ht="13.5">
      <c r="A17" s="532" t="s">
        <v>86</v>
      </c>
      <c r="B17" s="533"/>
      <c r="C17" s="270">
        <f t="shared" ref="C17:M17" si="5">+C20*C18</f>
        <v>0</v>
      </c>
      <c r="D17" s="270">
        <v>0</v>
      </c>
      <c r="E17" s="270">
        <f t="shared" si="5"/>
        <v>6400</v>
      </c>
      <c r="F17" s="270">
        <f t="shared" si="5"/>
        <v>12800</v>
      </c>
      <c r="G17" s="270">
        <f t="shared" si="5"/>
        <v>23270.400000000001</v>
      </c>
      <c r="H17" s="270">
        <f t="shared" si="5"/>
        <v>37604.966400000005</v>
      </c>
      <c r="I17" s="270">
        <f t="shared" si="5"/>
        <v>56971.524096000001</v>
      </c>
      <c r="J17" s="270">
        <f t="shared" si="5"/>
        <v>74803.611138048</v>
      </c>
      <c r="K17" s="270">
        <f t="shared" si="5"/>
        <v>83106.811974371332</v>
      </c>
      <c r="L17" s="270">
        <f t="shared" si="5"/>
        <v>92331.66810352655</v>
      </c>
      <c r="M17" s="270">
        <f t="shared" si="5"/>
        <v>97917.734023789904</v>
      </c>
    </row>
    <row r="18" spans="1:13" ht="13.5">
      <c r="A18" s="55" t="s">
        <v>83</v>
      </c>
      <c r="B18" s="56"/>
      <c r="C18" s="271">
        <v>0</v>
      </c>
      <c r="D18" s="272">
        <v>0</v>
      </c>
      <c r="E18" s="272">
        <v>2000</v>
      </c>
      <c r="F18" s="272">
        <f t="shared" ref="F18:M18" si="6">+E18*(1+F19)</f>
        <v>4000</v>
      </c>
      <c r="G18" s="272">
        <f t="shared" si="6"/>
        <v>7200</v>
      </c>
      <c r="H18" s="272">
        <f t="shared" si="6"/>
        <v>11520</v>
      </c>
      <c r="I18" s="272">
        <f t="shared" si="6"/>
        <v>17280</v>
      </c>
      <c r="J18" s="272">
        <f>+I18*(1+J19)</f>
        <v>22464</v>
      </c>
      <c r="K18" s="272">
        <f t="shared" si="6"/>
        <v>24710.400000000001</v>
      </c>
      <c r="L18" s="272">
        <f t="shared" si="6"/>
        <v>27181.440000000002</v>
      </c>
      <c r="M18" s="272">
        <f t="shared" si="6"/>
        <v>28540.512000000002</v>
      </c>
    </row>
    <row r="19" spans="1:13" ht="13.5">
      <c r="A19" s="55" t="s">
        <v>84</v>
      </c>
      <c r="B19" s="56"/>
      <c r="C19" s="55"/>
      <c r="D19" s="274">
        <v>0</v>
      </c>
      <c r="E19" s="274">
        <v>0</v>
      </c>
      <c r="F19" s="274">
        <v>1</v>
      </c>
      <c r="G19" s="274">
        <v>0.8</v>
      </c>
      <c r="H19" s="274">
        <v>0.6</v>
      </c>
      <c r="I19" s="274">
        <v>0.5</v>
      </c>
      <c r="J19" s="274">
        <v>0.3</v>
      </c>
      <c r="K19" s="274">
        <v>0.1</v>
      </c>
      <c r="L19" s="274">
        <v>0.1</v>
      </c>
      <c r="M19" s="274">
        <v>0.05</v>
      </c>
    </row>
    <row r="20" spans="1:13" ht="13.5">
      <c r="A20" s="55" t="s">
        <v>85</v>
      </c>
      <c r="B20" s="56"/>
      <c r="C20" s="275">
        <v>0</v>
      </c>
      <c r="D20" s="276">
        <f>+C20*(1+D$9)</f>
        <v>0</v>
      </c>
      <c r="E20" s="276">
        <v>3.2</v>
      </c>
      <c r="F20" s="276">
        <v>3.2</v>
      </c>
      <c r="G20" s="276">
        <f t="shared" ref="G20:M20" si="7">+F20*(1+G$9)</f>
        <v>3.2320000000000002</v>
      </c>
      <c r="H20" s="276">
        <f t="shared" si="7"/>
        <v>3.2643200000000001</v>
      </c>
      <c r="I20" s="276">
        <f t="shared" si="7"/>
        <v>3.2969632</v>
      </c>
      <c r="J20" s="276">
        <f t="shared" si="7"/>
        <v>3.3299328319999999</v>
      </c>
      <c r="K20" s="276">
        <f t="shared" si="7"/>
        <v>3.3632321603199999</v>
      </c>
      <c r="L20" s="276">
        <f>+K20*(1+L$9)</f>
        <v>3.3968644819231999</v>
      </c>
      <c r="M20" s="276">
        <f t="shared" si="7"/>
        <v>3.4308331267424319</v>
      </c>
    </row>
    <row r="21" spans="1:13" ht="13.5">
      <c r="A21" s="532" t="s">
        <v>87</v>
      </c>
      <c r="B21" s="533"/>
      <c r="C21" s="270">
        <f t="shared" ref="C21:M21" si="8">+C24*C22</f>
        <v>0</v>
      </c>
      <c r="D21" s="270">
        <f t="shared" si="8"/>
        <v>0</v>
      </c>
      <c r="E21" s="270">
        <f t="shared" si="8"/>
        <v>0</v>
      </c>
      <c r="F21" s="270">
        <f t="shared" si="8"/>
        <v>4800</v>
      </c>
      <c r="G21" s="270">
        <f t="shared" si="8"/>
        <v>9696</v>
      </c>
      <c r="H21" s="270">
        <f t="shared" si="8"/>
        <v>17627.328000000001</v>
      </c>
      <c r="I21" s="270">
        <f t="shared" si="8"/>
        <v>28485.762048000001</v>
      </c>
      <c r="J21" s="270">
        <f t="shared" si="8"/>
        <v>43155.929502719999</v>
      </c>
      <c r="K21" s="270">
        <f t="shared" si="8"/>
        <v>56663.735437071358</v>
      </c>
      <c r="L21" s="270">
        <f t="shared" si="8"/>
        <v>62953.410070586287</v>
      </c>
      <c r="M21" s="270">
        <f t="shared" si="8"/>
        <v>69941.238588421373</v>
      </c>
    </row>
    <row r="22" spans="1:13" ht="13.5">
      <c r="A22" s="55" t="s">
        <v>83</v>
      </c>
      <c r="B22" s="56"/>
      <c r="C22" s="271">
        <v>0</v>
      </c>
      <c r="D22" s="272">
        <f>+C22*(1+D23)</f>
        <v>0</v>
      </c>
      <c r="E22" s="272">
        <f>+D22*(1+E23)</f>
        <v>0</v>
      </c>
      <c r="F22" s="272">
        <v>1500</v>
      </c>
      <c r="G22" s="272">
        <f t="shared" ref="G22:M22" si="9">+F22*(1+G23)</f>
        <v>3000</v>
      </c>
      <c r="H22" s="272">
        <f t="shared" si="9"/>
        <v>5400</v>
      </c>
      <c r="I22" s="272">
        <f t="shared" si="9"/>
        <v>8640</v>
      </c>
      <c r="J22" s="272">
        <f t="shared" si="9"/>
        <v>12960</v>
      </c>
      <c r="K22" s="272">
        <f t="shared" si="9"/>
        <v>16848</v>
      </c>
      <c r="L22" s="272">
        <f t="shared" si="9"/>
        <v>18532.800000000003</v>
      </c>
      <c r="M22" s="272">
        <f t="shared" si="9"/>
        <v>20386.080000000005</v>
      </c>
    </row>
    <row r="23" spans="1:13" ht="13.5">
      <c r="A23" s="55" t="s">
        <v>84</v>
      </c>
      <c r="B23" s="56"/>
      <c r="C23" s="55"/>
      <c r="D23" s="274">
        <v>0</v>
      </c>
      <c r="E23" s="274">
        <v>0</v>
      </c>
      <c r="F23" s="274">
        <v>0</v>
      </c>
      <c r="G23" s="274">
        <v>1</v>
      </c>
      <c r="H23" s="274">
        <v>0.8</v>
      </c>
      <c r="I23" s="274">
        <v>0.6</v>
      </c>
      <c r="J23" s="274">
        <v>0.5</v>
      </c>
      <c r="K23" s="274">
        <v>0.3</v>
      </c>
      <c r="L23" s="274">
        <v>0.1</v>
      </c>
      <c r="M23" s="274">
        <v>0.1</v>
      </c>
    </row>
    <row r="24" spans="1:13" ht="13.5">
      <c r="A24" s="55" t="s">
        <v>85</v>
      </c>
      <c r="B24" s="56"/>
      <c r="C24" s="275">
        <v>0</v>
      </c>
      <c r="D24" s="276">
        <f>+C24*(1+D$9)</f>
        <v>0</v>
      </c>
      <c r="E24" s="276">
        <f t="shared" ref="E24:M24" si="10">+D24*(1+E$9)</f>
        <v>0</v>
      </c>
      <c r="F24" s="276">
        <v>3.2</v>
      </c>
      <c r="G24" s="276">
        <f t="shared" si="10"/>
        <v>3.2320000000000002</v>
      </c>
      <c r="H24" s="276">
        <f t="shared" si="10"/>
        <v>3.2643200000000001</v>
      </c>
      <c r="I24" s="276">
        <f t="shared" si="10"/>
        <v>3.2969632</v>
      </c>
      <c r="J24" s="276">
        <f t="shared" si="10"/>
        <v>3.3299328319999999</v>
      </c>
      <c r="K24" s="276">
        <f t="shared" si="10"/>
        <v>3.3632321603199999</v>
      </c>
      <c r="L24" s="276">
        <f t="shared" si="10"/>
        <v>3.3968644819231999</v>
      </c>
      <c r="M24" s="276">
        <f t="shared" si="10"/>
        <v>3.4308331267424319</v>
      </c>
    </row>
    <row r="25" spans="1:13" ht="13.5">
      <c r="A25" s="532" t="s">
        <v>88</v>
      </c>
      <c r="B25" s="533"/>
      <c r="C25" s="270">
        <f t="shared" ref="C25:M25" si="11">+C28*C26</f>
        <v>4890</v>
      </c>
      <c r="D25" s="270">
        <f t="shared" si="11"/>
        <v>8396.1299999999992</v>
      </c>
      <c r="E25" s="270">
        <f t="shared" si="11"/>
        <v>13568.14608</v>
      </c>
      <c r="F25" s="270">
        <f t="shared" si="11"/>
        <v>20555.741311200003</v>
      </c>
      <c r="G25" s="270">
        <f t="shared" si="11"/>
        <v>29065.818214036801</v>
      </c>
      <c r="H25" s="270">
        <f t="shared" si="11"/>
        <v>35227.771675412609</v>
      </c>
      <c r="I25" s="270">
        <f t="shared" si="11"/>
        <v>40917.056800991741</v>
      </c>
      <c r="J25" s="270">
        <f t="shared" si="11"/>
        <v>44632.325558521799</v>
      </c>
      <c r="K25" s="270">
        <f t="shared" si="11"/>
        <v>48684.940719235579</v>
      </c>
      <c r="L25" s="270">
        <f t="shared" si="11"/>
        <v>50646.943830220778</v>
      </c>
      <c r="M25" s="270">
        <f t="shared" si="11"/>
        <v>52688.015666578678</v>
      </c>
    </row>
    <row r="26" spans="1:13" ht="13.5">
      <c r="A26" s="55" t="s">
        <v>83</v>
      </c>
      <c r="B26" s="56"/>
      <c r="C26" s="271">
        <v>3000</v>
      </c>
      <c r="D26" s="272">
        <f t="shared" ref="D26:M26" si="12">+C26*(1+D27)</f>
        <v>5100</v>
      </c>
      <c r="E26" s="272">
        <f t="shared" si="12"/>
        <v>8160</v>
      </c>
      <c r="F26" s="272">
        <f t="shared" si="12"/>
        <v>12240</v>
      </c>
      <c r="G26" s="272">
        <f t="shared" si="12"/>
        <v>17136</v>
      </c>
      <c r="H26" s="272">
        <f t="shared" si="12"/>
        <v>20563.2</v>
      </c>
      <c r="I26" s="272">
        <f t="shared" si="12"/>
        <v>23647.68</v>
      </c>
      <c r="J26" s="272">
        <f t="shared" si="12"/>
        <v>25539.494400000003</v>
      </c>
      <c r="K26" s="272">
        <f t="shared" si="12"/>
        <v>27582.653952000004</v>
      </c>
      <c r="L26" s="272">
        <f t="shared" si="12"/>
        <v>28410.133570560007</v>
      </c>
      <c r="M26" s="272">
        <f t="shared" si="12"/>
        <v>29262.437577676807</v>
      </c>
    </row>
    <row r="27" spans="1:13" ht="13.5">
      <c r="A27" s="55" t="s">
        <v>84</v>
      </c>
      <c r="B27" s="56"/>
      <c r="C27" s="55"/>
      <c r="D27" s="274">
        <v>0.7</v>
      </c>
      <c r="E27" s="274">
        <v>0.6</v>
      </c>
      <c r="F27" s="274">
        <v>0.5</v>
      </c>
      <c r="G27" s="274">
        <v>0.4</v>
      </c>
      <c r="H27" s="274">
        <v>0.2</v>
      </c>
      <c r="I27" s="274">
        <v>0.15</v>
      </c>
      <c r="J27" s="274">
        <v>0.08</v>
      </c>
      <c r="K27" s="274">
        <v>0.08</v>
      </c>
      <c r="L27" s="274">
        <v>0.03</v>
      </c>
      <c r="M27" s="274">
        <v>0.03</v>
      </c>
    </row>
    <row r="28" spans="1:13" ht="13.5">
      <c r="A28" s="55" t="s">
        <v>85</v>
      </c>
      <c r="B28" s="56"/>
      <c r="C28" s="465">
        <v>1.63</v>
      </c>
      <c r="D28" s="464">
        <f>+C28*(1+D$9)</f>
        <v>1.6462999999999999</v>
      </c>
      <c r="E28" s="276">
        <f t="shared" ref="E28:M28" si="13">+D28*(1+E$9)</f>
        <v>1.662763</v>
      </c>
      <c r="F28" s="276">
        <f t="shared" si="13"/>
        <v>1.6793906300000001</v>
      </c>
      <c r="G28" s="276">
        <f t="shared" si="13"/>
        <v>1.6961845363000001</v>
      </c>
      <c r="H28" s="276">
        <f t="shared" si="13"/>
        <v>1.7131463816630002</v>
      </c>
      <c r="I28" s="276">
        <f t="shared" si="13"/>
        <v>1.7302778454796301</v>
      </c>
      <c r="J28" s="276">
        <f t="shared" si="13"/>
        <v>1.7475806239344265</v>
      </c>
      <c r="K28" s="276">
        <f t="shared" si="13"/>
        <v>1.7650564301737708</v>
      </c>
      <c r="L28" s="276">
        <f t="shared" si="13"/>
        <v>1.7827069944755085</v>
      </c>
      <c r="M28" s="276">
        <f t="shared" si="13"/>
        <v>1.8005340644202636</v>
      </c>
    </row>
    <row r="29" spans="1:13" ht="14.25" thickBot="1">
      <c r="A29" s="527" t="s">
        <v>89</v>
      </c>
      <c r="B29" s="528"/>
      <c r="C29" s="36">
        <f t="shared" ref="C29:M29" si="14">+C13+C17+C21+C25</f>
        <v>21930</v>
      </c>
      <c r="D29" s="36">
        <f t="shared" si="14"/>
        <v>39374.85</v>
      </c>
      <c r="E29" s="36">
        <f t="shared" si="14"/>
        <v>73158.608319999999</v>
      </c>
      <c r="F29" s="36">
        <f t="shared" si="14"/>
        <v>118739.2916048</v>
      </c>
      <c r="G29" s="36">
        <f t="shared" si="14"/>
        <v>175977.35832918721</v>
      </c>
      <c r="H29" s="36">
        <f t="shared" si="14"/>
        <v>240070.0350466051</v>
      </c>
      <c r="I29" s="36">
        <f t="shared" si="14"/>
        <v>307701.62533807708</v>
      </c>
      <c r="J29" s="36">
        <f t="shared" si="14"/>
        <v>373203.50469885836</v>
      </c>
      <c r="K29" s="36">
        <f t="shared" si="14"/>
        <v>418190.66340600763</v>
      </c>
      <c r="L29" s="36">
        <f t="shared" si="14"/>
        <v>444925.52484325878</v>
      </c>
      <c r="M29" s="36">
        <f t="shared" si="14"/>
        <v>469171.92928212381</v>
      </c>
    </row>
    <row r="30" spans="1:13" ht="14.25" thickTop="1">
      <c r="A30" s="57"/>
      <c r="B30" s="57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</row>
    <row r="31" spans="1:13" ht="13.5">
      <c r="A31" s="57"/>
      <c r="B31" s="57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</row>
    <row r="32" spans="1:13" ht="13.5">
      <c r="A32" s="535" t="s">
        <v>90</v>
      </c>
      <c r="B32" s="535"/>
      <c r="C32" s="493">
        <f t="shared" ref="C32:M32" si="15">+C8</f>
        <v>2020</v>
      </c>
      <c r="D32" s="493">
        <f t="shared" si="15"/>
        <v>2021</v>
      </c>
      <c r="E32" s="493">
        <f t="shared" si="15"/>
        <v>2022</v>
      </c>
      <c r="F32" s="493">
        <f t="shared" si="15"/>
        <v>2023</v>
      </c>
      <c r="G32" s="493">
        <f t="shared" si="15"/>
        <v>2024</v>
      </c>
      <c r="H32" s="493">
        <f t="shared" si="15"/>
        <v>2025</v>
      </c>
      <c r="I32" s="493">
        <f t="shared" si="15"/>
        <v>2026</v>
      </c>
      <c r="J32" s="493">
        <f t="shared" si="15"/>
        <v>2027</v>
      </c>
      <c r="K32" s="493">
        <f t="shared" si="15"/>
        <v>2028</v>
      </c>
      <c r="L32" s="493">
        <f t="shared" si="15"/>
        <v>2029</v>
      </c>
      <c r="M32" s="493">
        <f t="shared" si="15"/>
        <v>2030</v>
      </c>
    </row>
    <row r="33" spans="1:15" ht="13.5">
      <c r="A33" s="532" t="s">
        <v>91</v>
      </c>
      <c r="B33" s="533"/>
      <c r="C33" s="270">
        <f t="shared" ref="C33:M33" si="16">+C36*C34</f>
        <v>0</v>
      </c>
      <c r="D33" s="270">
        <f t="shared" si="16"/>
        <v>0</v>
      </c>
      <c r="E33" s="270">
        <f>+E36*E34</f>
        <v>0</v>
      </c>
      <c r="F33" s="270">
        <f>+F36*F34</f>
        <v>0</v>
      </c>
      <c r="G33" s="270">
        <f>+G36*G34</f>
        <v>0</v>
      </c>
      <c r="H33" s="270">
        <f>+H36*H34</f>
        <v>0</v>
      </c>
      <c r="I33" s="270">
        <f>+I36*I34</f>
        <v>0</v>
      </c>
      <c r="J33" s="270">
        <f t="shared" si="16"/>
        <v>0</v>
      </c>
      <c r="K33" s="270">
        <f t="shared" si="16"/>
        <v>0</v>
      </c>
      <c r="L33" s="270">
        <f t="shared" si="16"/>
        <v>0</v>
      </c>
      <c r="M33" s="270">
        <f t="shared" si="16"/>
        <v>0</v>
      </c>
    </row>
    <row r="34" spans="1:15" ht="13.5">
      <c r="A34" s="55" t="s">
        <v>83</v>
      </c>
      <c r="B34" s="56"/>
      <c r="C34" s="271"/>
      <c r="D34" s="272">
        <f>+C34*(1+D35)</f>
        <v>0</v>
      </c>
      <c r="E34" s="272">
        <f t="shared" ref="E34:M34" si="17">+D34*(1+E35)</f>
        <v>0</v>
      </c>
      <c r="F34" s="272">
        <f t="shared" si="17"/>
        <v>0</v>
      </c>
      <c r="G34" s="272">
        <f t="shared" si="17"/>
        <v>0</v>
      </c>
      <c r="H34" s="272">
        <f t="shared" si="17"/>
        <v>0</v>
      </c>
      <c r="I34" s="272">
        <f t="shared" si="17"/>
        <v>0</v>
      </c>
      <c r="J34" s="272">
        <f t="shared" si="17"/>
        <v>0</v>
      </c>
      <c r="K34" s="272">
        <f t="shared" si="17"/>
        <v>0</v>
      </c>
      <c r="L34" s="272">
        <f t="shared" si="17"/>
        <v>0</v>
      </c>
      <c r="M34" s="272">
        <f t="shared" si="17"/>
        <v>0</v>
      </c>
    </row>
    <row r="35" spans="1:15" ht="13.5">
      <c r="A35" s="55" t="s">
        <v>84</v>
      </c>
      <c r="B35" s="56"/>
      <c r="C35" s="273"/>
      <c r="D35" s="274"/>
      <c r="E35" s="274"/>
      <c r="F35" s="274"/>
      <c r="G35" s="274"/>
      <c r="H35" s="274"/>
      <c r="I35" s="274"/>
      <c r="J35" s="274"/>
      <c r="K35" s="274"/>
      <c r="L35" s="274"/>
      <c r="M35" s="274"/>
    </row>
    <row r="36" spans="1:15" ht="13.5">
      <c r="A36" s="55" t="s">
        <v>85</v>
      </c>
      <c r="B36" s="56"/>
      <c r="C36" s="275"/>
      <c r="D36" s="276">
        <f>+C36*(1+D$9)</f>
        <v>0</v>
      </c>
      <c r="E36" s="276">
        <f t="shared" ref="E36:M36" si="18">+D36*(1+E$9)</f>
        <v>0</v>
      </c>
      <c r="F36" s="276">
        <f t="shared" si="18"/>
        <v>0</v>
      </c>
      <c r="G36" s="276">
        <f t="shared" si="18"/>
        <v>0</v>
      </c>
      <c r="H36" s="276">
        <f t="shared" si="18"/>
        <v>0</v>
      </c>
      <c r="I36" s="276">
        <f t="shared" si="18"/>
        <v>0</v>
      </c>
      <c r="J36" s="276">
        <f t="shared" si="18"/>
        <v>0</v>
      </c>
      <c r="K36" s="276">
        <f t="shared" si="18"/>
        <v>0</v>
      </c>
      <c r="L36" s="276">
        <f t="shared" si="18"/>
        <v>0</v>
      </c>
      <c r="M36" s="276">
        <f t="shared" si="18"/>
        <v>0</v>
      </c>
    </row>
    <row r="37" spans="1:15" ht="13.5">
      <c r="A37" s="532" t="s">
        <v>92</v>
      </c>
      <c r="B37" s="533"/>
      <c r="C37" s="270">
        <f t="shared" ref="C37:M37" si="19">+C40*C38</f>
        <v>0</v>
      </c>
      <c r="D37" s="270">
        <f t="shared" si="19"/>
        <v>0</v>
      </c>
      <c r="E37" s="270">
        <f>+E40*E38</f>
        <v>0</v>
      </c>
      <c r="F37" s="270">
        <f>+F40*F38</f>
        <v>0</v>
      </c>
      <c r="G37" s="270">
        <f>+G40*G38</f>
        <v>0</v>
      </c>
      <c r="H37" s="270">
        <f>+H40*H38</f>
        <v>0</v>
      </c>
      <c r="I37" s="270">
        <f>+I40*I38</f>
        <v>0</v>
      </c>
      <c r="J37" s="270">
        <f t="shared" si="19"/>
        <v>0</v>
      </c>
      <c r="K37" s="270">
        <f t="shared" si="19"/>
        <v>0</v>
      </c>
      <c r="L37" s="270">
        <f t="shared" si="19"/>
        <v>0</v>
      </c>
      <c r="M37" s="270">
        <f t="shared" si="19"/>
        <v>0</v>
      </c>
    </row>
    <row r="38" spans="1:15" ht="13.5">
      <c r="A38" s="55" t="s">
        <v>83</v>
      </c>
      <c r="B38" s="56"/>
      <c r="C38" s="271"/>
      <c r="D38" s="272">
        <f>+C38*(1+D39)</f>
        <v>0</v>
      </c>
      <c r="E38" s="272">
        <f t="shared" ref="E38:M38" si="20">+D38*(1+E39)</f>
        <v>0</v>
      </c>
      <c r="F38" s="272">
        <f t="shared" si="20"/>
        <v>0</v>
      </c>
      <c r="G38" s="272">
        <f t="shared" si="20"/>
        <v>0</v>
      </c>
      <c r="H38" s="272">
        <f t="shared" si="20"/>
        <v>0</v>
      </c>
      <c r="I38" s="272">
        <f t="shared" si="20"/>
        <v>0</v>
      </c>
      <c r="J38" s="272">
        <f t="shared" si="20"/>
        <v>0</v>
      </c>
      <c r="K38" s="272">
        <f t="shared" si="20"/>
        <v>0</v>
      </c>
      <c r="L38" s="272">
        <f t="shared" si="20"/>
        <v>0</v>
      </c>
      <c r="M38" s="272">
        <f t="shared" si="20"/>
        <v>0</v>
      </c>
    </row>
    <row r="39" spans="1:15" ht="13.5">
      <c r="A39" s="55" t="s">
        <v>84</v>
      </c>
      <c r="B39" s="56"/>
      <c r="C39" s="273"/>
      <c r="D39" s="274"/>
      <c r="E39" s="274"/>
      <c r="F39" s="274"/>
      <c r="G39" s="274"/>
      <c r="H39" s="274"/>
      <c r="I39" s="274"/>
      <c r="J39" s="274"/>
      <c r="K39" s="274"/>
      <c r="L39" s="274"/>
      <c r="M39" s="274"/>
    </row>
    <row r="40" spans="1:15" ht="13.5">
      <c r="A40" s="55" t="s">
        <v>85</v>
      </c>
      <c r="B40" s="56"/>
      <c r="C40" s="275"/>
      <c r="D40" s="276">
        <f>+C40*(1+D$9)</f>
        <v>0</v>
      </c>
      <c r="E40" s="276">
        <f t="shared" ref="E40:M40" si="21">+D40*(1+E$9)</f>
        <v>0</v>
      </c>
      <c r="F40" s="276">
        <f t="shared" si="21"/>
        <v>0</v>
      </c>
      <c r="G40" s="276">
        <f t="shared" si="21"/>
        <v>0</v>
      </c>
      <c r="H40" s="276">
        <f t="shared" si="21"/>
        <v>0</v>
      </c>
      <c r="I40" s="276">
        <f t="shared" si="21"/>
        <v>0</v>
      </c>
      <c r="J40" s="276">
        <f t="shared" si="21"/>
        <v>0</v>
      </c>
      <c r="K40" s="276">
        <f t="shared" si="21"/>
        <v>0</v>
      </c>
      <c r="L40" s="276">
        <f t="shared" si="21"/>
        <v>0</v>
      </c>
      <c r="M40" s="276">
        <f t="shared" si="21"/>
        <v>0</v>
      </c>
    </row>
    <row r="41" spans="1:15" ht="14.25" thickBot="1">
      <c r="A41" s="538" t="s">
        <v>89</v>
      </c>
      <c r="B41" s="538"/>
      <c r="C41" s="36">
        <f t="shared" ref="C41:M41" si="22">+C33+C37</f>
        <v>0</v>
      </c>
      <c r="D41" s="36">
        <f t="shared" si="22"/>
        <v>0</v>
      </c>
      <c r="E41" s="36">
        <f>+E33+E37</f>
        <v>0</v>
      </c>
      <c r="F41" s="36">
        <f>+F33+F37</f>
        <v>0</v>
      </c>
      <c r="G41" s="36">
        <f>+G33+G37</f>
        <v>0</v>
      </c>
      <c r="H41" s="36">
        <f>+H33+H37</f>
        <v>0</v>
      </c>
      <c r="I41" s="36">
        <f>+I33+I37</f>
        <v>0</v>
      </c>
      <c r="J41" s="36">
        <f t="shared" si="22"/>
        <v>0</v>
      </c>
      <c r="K41" s="36">
        <f t="shared" si="22"/>
        <v>0</v>
      </c>
      <c r="L41" s="36">
        <f t="shared" si="22"/>
        <v>0</v>
      </c>
      <c r="M41" s="36">
        <f t="shared" si="22"/>
        <v>0</v>
      </c>
    </row>
    <row r="42" spans="1:15" ht="14.25" thickTop="1">
      <c r="A42" s="59" t="s">
        <v>93</v>
      </c>
      <c r="B42" s="57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</row>
    <row r="43" spans="1:15" ht="13.5">
      <c r="A43" s="60" t="s">
        <v>94</v>
      </c>
      <c r="B43" s="61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3"/>
      <c r="O43" s="63"/>
    </row>
    <row r="44" spans="1:15" ht="13.5">
      <c r="A44" s="54"/>
      <c r="B44" s="61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3"/>
      <c r="O44" s="63"/>
    </row>
    <row r="45" spans="1:15" ht="13.5">
      <c r="A45" s="535" t="s">
        <v>95</v>
      </c>
      <c r="B45" s="535"/>
      <c r="C45" s="493">
        <f t="shared" ref="C45:M45" si="23">+C8</f>
        <v>2020</v>
      </c>
      <c r="D45" s="493">
        <f t="shared" si="23"/>
        <v>2021</v>
      </c>
      <c r="E45" s="493">
        <f t="shared" si="23"/>
        <v>2022</v>
      </c>
      <c r="F45" s="493">
        <f t="shared" si="23"/>
        <v>2023</v>
      </c>
      <c r="G45" s="493">
        <f t="shared" si="23"/>
        <v>2024</v>
      </c>
      <c r="H45" s="493">
        <f t="shared" si="23"/>
        <v>2025</v>
      </c>
      <c r="I45" s="493">
        <f t="shared" si="23"/>
        <v>2026</v>
      </c>
      <c r="J45" s="493">
        <f t="shared" si="23"/>
        <v>2027</v>
      </c>
      <c r="K45" s="493">
        <f t="shared" si="23"/>
        <v>2028</v>
      </c>
      <c r="L45" s="493">
        <f t="shared" si="23"/>
        <v>2029</v>
      </c>
      <c r="M45" s="493">
        <f t="shared" si="23"/>
        <v>2030</v>
      </c>
      <c r="N45" s="63"/>
      <c r="O45" s="63"/>
    </row>
    <row r="46" spans="1:15" ht="13.5">
      <c r="A46" s="532" t="s">
        <v>96</v>
      </c>
      <c r="B46" s="533"/>
      <c r="C46" s="271"/>
      <c r="D46" s="272">
        <f>+C46*(1+D47)</f>
        <v>0</v>
      </c>
      <c r="E46" s="272">
        <f>+D46*(1+E47)</f>
        <v>0</v>
      </c>
      <c r="F46" s="272">
        <f>+E46*(1+F47)</f>
        <v>0</v>
      </c>
      <c r="G46" s="272">
        <f t="shared" ref="G46:M46" si="24">+F46*(1+G47)</f>
        <v>0</v>
      </c>
      <c r="H46" s="272">
        <f t="shared" si="24"/>
        <v>0</v>
      </c>
      <c r="I46" s="272">
        <f t="shared" si="24"/>
        <v>0</v>
      </c>
      <c r="J46" s="272">
        <f t="shared" si="24"/>
        <v>0</v>
      </c>
      <c r="K46" s="272">
        <f t="shared" si="24"/>
        <v>0</v>
      </c>
      <c r="L46" s="272">
        <f t="shared" si="24"/>
        <v>0</v>
      </c>
      <c r="M46" s="272">
        <f t="shared" si="24"/>
        <v>0</v>
      </c>
      <c r="N46" s="63"/>
      <c r="O46" s="63"/>
    </row>
    <row r="47" spans="1:15" ht="13.5">
      <c r="A47" s="55" t="s">
        <v>97</v>
      </c>
      <c r="B47" s="56"/>
      <c r="C47" s="273"/>
      <c r="D47" s="274"/>
      <c r="E47" s="274"/>
      <c r="F47" s="274"/>
      <c r="G47" s="274"/>
      <c r="H47" s="274"/>
      <c r="I47" s="274"/>
      <c r="J47" s="274"/>
      <c r="K47" s="274"/>
      <c r="L47" s="274"/>
      <c r="M47" s="274"/>
      <c r="N47" s="63"/>
      <c r="O47" s="63"/>
    </row>
    <row r="48" spans="1:15" ht="13.5">
      <c r="A48" s="532" t="s">
        <v>98</v>
      </c>
      <c r="B48" s="533"/>
      <c r="C48" s="271"/>
      <c r="D48" s="272">
        <f>+C48*(1+D49)</f>
        <v>0</v>
      </c>
      <c r="E48" s="272">
        <f>+D48*(1+E49)</f>
        <v>0</v>
      </c>
      <c r="F48" s="272">
        <f t="shared" ref="F48:M48" si="25">+E48*(1+F49)</f>
        <v>0</v>
      </c>
      <c r="G48" s="272">
        <f t="shared" si="25"/>
        <v>0</v>
      </c>
      <c r="H48" s="272">
        <f t="shared" si="25"/>
        <v>0</v>
      </c>
      <c r="I48" s="272">
        <f t="shared" si="25"/>
        <v>0</v>
      </c>
      <c r="J48" s="272">
        <f t="shared" si="25"/>
        <v>0</v>
      </c>
      <c r="K48" s="272">
        <f t="shared" si="25"/>
        <v>0</v>
      </c>
      <c r="L48" s="272">
        <f t="shared" si="25"/>
        <v>0</v>
      </c>
      <c r="M48" s="272">
        <f t="shared" si="25"/>
        <v>0</v>
      </c>
      <c r="N48" s="63"/>
      <c r="O48" s="63"/>
    </row>
    <row r="49" spans="1:15" ht="13.5">
      <c r="A49" s="55" t="s">
        <v>97</v>
      </c>
      <c r="B49" s="56"/>
      <c r="C49" s="273"/>
      <c r="D49" s="274"/>
      <c r="E49" s="274"/>
      <c r="F49" s="274"/>
      <c r="G49" s="274"/>
      <c r="H49" s="274"/>
      <c r="I49" s="274"/>
      <c r="J49" s="274"/>
      <c r="K49" s="274"/>
      <c r="L49" s="274"/>
      <c r="M49" s="274"/>
      <c r="N49" s="63"/>
      <c r="O49" s="63"/>
    </row>
    <row r="50" spans="1:15" ht="13.5">
      <c r="A50" s="532" t="s">
        <v>99</v>
      </c>
      <c r="B50" s="533"/>
      <c r="C50" s="271"/>
      <c r="D50" s="272">
        <f>+C50*(1+D51)</f>
        <v>0</v>
      </c>
      <c r="E50" s="272">
        <f>+D50*(1+E51)</f>
        <v>0</v>
      </c>
      <c r="F50" s="272">
        <f t="shared" ref="F50:M50" si="26">+E50*(1+F51)</f>
        <v>0</v>
      </c>
      <c r="G50" s="272">
        <f t="shared" si="26"/>
        <v>0</v>
      </c>
      <c r="H50" s="272">
        <f t="shared" si="26"/>
        <v>0</v>
      </c>
      <c r="I50" s="272">
        <f t="shared" si="26"/>
        <v>0</v>
      </c>
      <c r="J50" s="272">
        <f t="shared" si="26"/>
        <v>0</v>
      </c>
      <c r="K50" s="272">
        <f t="shared" si="26"/>
        <v>0</v>
      </c>
      <c r="L50" s="272">
        <f t="shared" si="26"/>
        <v>0</v>
      </c>
      <c r="M50" s="272">
        <f t="shared" si="26"/>
        <v>0</v>
      </c>
      <c r="N50" s="63"/>
      <c r="O50" s="63"/>
    </row>
    <row r="51" spans="1:15" ht="13.5">
      <c r="A51" s="55" t="s">
        <v>97</v>
      </c>
      <c r="B51" s="56"/>
      <c r="C51" s="273"/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63"/>
      <c r="O51" s="63"/>
    </row>
    <row r="52" spans="1:15" ht="13.5">
      <c r="A52" s="532" t="s">
        <v>100</v>
      </c>
      <c r="B52" s="533"/>
      <c r="C52" s="271"/>
      <c r="D52" s="272">
        <f>+C52*(1+D53)</f>
        <v>0</v>
      </c>
      <c r="E52" s="272">
        <f>+D52*(1+E53)</f>
        <v>0</v>
      </c>
      <c r="F52" s="272">
        <f t="shared" ref="F52:M52" si="27">+E52*(1+F53)</f>
        <v>0</v>
      </c>
      <c r="G52" s="272">
        <f t="shared" si="27"/>
        <v>0</v>
      </c>
      <c r="H52" s="272">
        <f t="shared" si="27"/>
        <v>0</v>
      </c>
      <c r="I52" s="272">
        <f t="shared" si="27"/>
        <v>0</v>
      </c>
      <c r="J52" s="272">
        <f t="shared" si="27"/>
        <v>0</v>
      </c>
      <c r="K52" s="272">
        <f t="shared" si="27"/>
        <v>0</v>
      </c>
      <c r="L52" s="272">
        <f t="shared" si="27"/>
        <v>0</v>
      </c>
      <c r="M52" s="272">
        <f t="shared" si="27"/>
        <v>0</v>
      </c>
      <c r="N52" s="63"/>
      <c r="O52" s="63"/>
    </row>
    <row r="53" spans="1:15" ht="13.5">
      <c r="A53" s="55" t="s">
        <v>97</v>
      </c>
      <c r="B53" s="56"/>
      <c r="C53" s="273"/>
      <c r="D53" s="274"/>
      <c r="E53" s="274"/>
      <c r="F53" s="274"/>
      <c r="G53" s="274"/>
      <c r="H53" s="274"/>
      <c r="I53" s="274"/>
      <c r="J53" s="274"/>
      <c r="K53" s="274"/>
      <c r="L53" s="274"/>
      <c r="M53" s="274"/>
      <c r="N53" s="63"/>
      <c r="O53" s="63"/>
    </row>
    <row r="54" spans="1:15" ht="14.25" thickBot="1">
      <c r="A54" s="538" t="s">
        <v>89</v>
      </c>
      <c r="B54" s="538"/>
      <c r="C54" s="36">
        <f t="shared" ref="C54:M54" si="28">+C46+C48+C50+C52</f>
        <v>0</v>
      </c>
      <c r="D54" s="36">
        <f t="shared" si="28"/>
        <v>0</v>
      </c>
      <c r="E54" s="36">
        <f>+E46+E48+E50+E52</f>
        <v>0</v>
      </c>
      <c r="F54" s="36">
        <f>+F46+F48+F50+F52</f>
        <v>0</v>
      </c>
      <c r="G54" s="36">
        <f>+G46+G48+G50+G52</f>
        <v>0</v>
      </c>
      <c r="H54" s="36">
        <f>+H46+H48+H50+H52</f>
        <v>0</v>
      </c>
      <c r="I54" s="36">
        <f>+I46+I48+I50+I52</f>
        <v>0</v>
      </c>
      <c r="J54" s="36">
        <f t="shared" si="28"/>
        <v>0</v>
      </c>
      <c r="K54" s="36">
        <f t="shared" si="28"/>
        <v>0</v>
      </c>
      <c r="L54" s="36">
        <f t="shared" si="28"/>
        <v>0</v>
      </c>
      <c r="M54" s="36">
        <f t="shared" si="28"/>
        <v>0</v>
      </c>
    </row>
    <row r="55" spans="1:15" ht="14.25" thickTop="1">
      <c r="A55" s="65"/>
      <c r="B55" s="66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3"/>
      <c r="O55" s="63"/>
    </row>
    <row r="56" spans="1:15" ht="13.5">
      <c r="A56" s="65"/>
      <c r="B56" s="66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3"/>
      <c r="O56" s="63"/>
    </row>
    <row r="57" spans="1:15" ht="13.5">
      <c r="A57" s="535" t="s">
        <v>101</v>
      </c>
      <c r="B57" s="535"/>
      <c r="C57" s="67">
        <f t="shared" ref="C57:M57" si="29">+C8</f>
        <v>2020</v>
      </c>
      <c r="D57" s="67">
        <f t="shared" si="29"/>
        <v>2021</v>
      </c>
      <c r="E57" s="67">
        <f t="shared" si="29"/>
        <v>2022</v>
      </c>
      <c r="F57" s="67">
        <f t="shared" si="29"/>
        <v>2023</v>
      </c>
      <c r="G57" s="67">
        <f t="shared" si="29"/>
        <v>2024</v>
      </c>
      <c r="H57" s="67">
        <f t="shared" si="29"/>
        <v>2025</v>
      </c>
      <c r="I57" s="67">
        <f t="shared" si="29"/>
        <v>2026</v>
      </c>
      <c r="J57" s="67">
        <f t="shared" si="29"/>
        <v>2027</v>
      </c>
      <c r="K57" s="67">
        <f t="shared" si="29"/>
        <v>2028</v>
      </c>
      <c r="L57" s="67">
        <f t="shared" si="29"/>
        <v>2029</v>
      </c>
      <c r="M57" s="67">
        <f t="shared" si="29"/>
        <v>2030</v>
      </c>
      <c r="N57" s="63"/>
      <c r="O57" s="63"/>
    </row>
    <row r="58" spans="1:15" ht="13.5">
      <c r="A58" s="532" t="s">
        <v>96</v>
      </c>
      <c r="B58" s="533"/>
      <c r="C58" s="271"/>
      <c r="D58" s="272">
        <f>+C58*(1+D59)</f>
        <v>0</v>
      </c>
      <c r="E58" s="272">
        <f>+D58*(1+E59)</f>
        <v>0</v>
      </c>
      <c r="F58" s="272">
        <f t="shared" ref="F58:M58" si="30">+E58*(1+F59)</f>
        <v>0</v>
      </c>
      <c r="G58" s="272">
        <f t="shared" si="30"/>
        <v>0</v>
      </c>
      <c r="H58" s="272">
        <f t="shared" si="30"/>
        <v>0</v>
      </c>
      <c r="I58" s="272">
        <f t="shared" si="30"/>
        <v>0</v>
      </c>
      <c r="J58" s="272">
        <f t="shared" si="30"/>
        <v>0</v>
      </c>
      <c r="K58" s="272">
        <f t="shared" si="30"/>
        <v>0</v>
      </c>
      <c r="L58" s="272">
        <f t="shared" si="30"/>
        <v>0</v>
      </c>
      <c r="M58" s="272">
        <f t="shared" si="30"/>
        <v>0</v>
      </c>
      <c r="N58" s="63"/>
      <c r="O58" s="63"/>
    </row>
    <row r="59" spans="1:15" ht="13.5">
      <c r="A59" s="55" t="s">
        <v>97</v>
      </c>
      <c r="B59" s="56"/>
      <c r="C59" s="273"/>
      <c r="D59" s="274"/>
      <c r="E59" s="274"/>
      <c r="F59" s="274"/>
      <c r="G59" s="274"/>
      <c r="H59" s="274"/>
      <c r="I59" s="274"/>
      <c r="J59" s="274"/>
      <c r="K59" s="274"/>
      <c r="L59" s="274"/>
      <c r="M59" s="274"/>
      <c r="N59" s="63"/>
      <c r="O59" s="63"/>
    </row>
    <row r="60" spans="1:15" ht="13.5">
      <c r="A60" s="532" t="s">
        <v>98</v>
      </c>
      <c r="B60" s="533"/>
      <c r="C60" s="271"/>
      <c r="D60" s="272">
        <f>+C60*(1+D61)</f>
        <v>0</v>
      </c>
      <c r="E60" s="272">
        <f>+D60*(1+E61)</f>
        <v>0</v>
      </c>
      <c r="F60" s="272">
        <f t="shared" ref="F60:M60" si="31">+E60*(1+F61)</f>
        <v>0</v>
      </c>
      <c r="G60" s="272">
        <f t="shared" si="31"/>
        <v>0</v>
      </c>
      <c r="H60" s="272">
        <f t="shared" si="31"/>
        <v>0</v>
      </c>
      <c r="I60" s="272">
        <f t="shared" si="31"/>
        <v>0</v>
      </c>
      <c r="J60" s="272">
        <f t="shared" si="31"/>
        <v>0</v>
      </c>
      <c r="K60" s="272">
        <f t="shared" si="31"/>
        <v>0</v>
      </c>
      <c r="L60" s="272">
        <f t="shared" si="31"/>
        <v>0</v>
      </c>
      <c r="M60" s="272">
        <f t="shared" si="31"/>
        <v>0</v>
      </c>
      <c r="N60" s="63"/>
      <c r="O60" s="63"/>
    </row>
    <row r="61" spans="1:15" ht="13.5">
      <c r="A61" s="55" t="s">
        <v>97</v>
      </c>
      <c r="B61" s="56"/>
      <c r="C61" s="273"/>
      <c r="D61" s="274"/>
      <c r="E61" s="274"/>
      <c r="F61" s="274"/>
      <c r="G61" s="274"/>
      <c r="H61" s="274"/>
      <c r="I61" s="274"/>
      <c r="J61" s="274"/>
      <c r="K61" s="274"/>
      <c r="L61" s="274"/>
      <c r="M61" s="274"/>
      <c r="N61" s="63"/>
      <c r="O61" s="63"/>
    </row>
    <row r="62" spans="1:15" ht="13.5">
      <c r="A62" s="532" t="s">
        <v>99</v>
      </c>
      <c r="B62" s="533"/>
      <c r="C62" s="271"/>
      <c r="D62" s="272">
        <f>+C62*(1+D63)</f>
        <v>0</v>
      </c>
      <c r="E62" s="272">
        <f>+D62*(1+E63)</f>
        <v>0</v>
      </c>
      <c r="F62" s="272">
        <f t="shared" ref="F62:M62" si="32">+E62*(1+F63)</f>
        <v>0</v>
      </c>
      <c r="G62" s="272">
        <f t="shared" si="32"/>
        <v>0</v>
      </c>
      <c r="H62" s="272">
        <f t="shared" si="32"/>
        <v>0</v>
      </c>
      <c r="I62" s="272">
        <f t="shared" si="32"/>
        <v>0</v>
      </c>
      <c r="J62" s="272">
        <f t="shared" si="32"/>
        <v>0</v>
      </c>
      <c r="K62" s="272">
        <f t="shared" si="32"/>
        <v>0</v>
      </c>
      <c r="L62" s="272">
        <f t="shared" si="32"/>
        <v>0</v>
      </c>
      <c r="M62" s="272">
        <f t="shared" si="32"/>
        <v>0</v>
      </c>
      <c r="N62" s="63"/>
      <c r="O62" s="63"/>
    </row>
    <row r="63" spans="1:15" ht="13.5">
      <c r="A63" s="55" t="s">
        <v>97</v>
      </c>
      <c r="B63" s="56"/>
      <c r="C63" s="273"/>
      <c r="D63" s="274"/>
      <c r="E63" s="274"/>
      <c r="F63" s="274"/>
      <c r="G63" s="274"/>
      <c r="H63" s="274"/>
      <c r="I63" s="274"/>
      <c r="J63" s="274"/>
      <c r="K63" s="274"/>
      <c r="L63" s="274"/>
      <c r="M63" s="274"/>
      <c r="N63" s="63"/>
      <c r="O63" s="63"/>
    </row>
    <row r="64" spans="1:15" ht="13.5">
      <c r="A64" s="532" t="s">
        <v>100</v>
      </c>
      <c r="B64" s="533"/>
      <c r="C64" s="271"/>
      <c r="D64" s="272">
        <f>+C64*(1+D65)</f>
        <v>0</v>
      </c>
      <c r="E64" s="272">
        <f>+D64*(1+E65)</f>
        <v>0</v>
      </c>
      <c r="F64" s="272">
        <f t="shared" ref="F64:M64" si="33">+E64*(1+F65)</f>
        <v>0</v>
      </c>
      <c r="G64" s="272">
        <f t="shared" si="33"/>
        <v>0</v>
      </c>
      <c r="H64" s="272">
        <f t="shared" si="33"/>
        <v>0</v>
      </c>
      <c r="I64" s="272">
        <f t="shared" si="33"/>
        <v>0</v>
      </c>
      <c r="J64" s="272">
        <f t="shared" si="33"/>
        <v>0</v>
      </c>
      <c r="K64" s="272">
        <f t="shared" si="33"/>
        <v>0</v>
      </c>
      <c r="L64" s="272">
        <f t="shared" si="33"/>
        <v>0</v>
      </c>
      <c r="M64" s="272">
        <f t="shared" si="33"/>
        <v>0</v>
      </c>
      <c r="N64" s="63"/>
      <c r="O64" s="63"/>
    </row>
    <row r="65" spans="1:15" ht="13.5">
      <c r="A65" s="55" t="s">
        <v>97</v>
      </c>
      <c r="B65" s="56"/>
      <c r="C65" s="273"/>
      <c r="D65" s="274"/>
      <c r="E65" s="274"/>
      <c r="F65" s="274"/>
      <c r="G65" s="274"/>
      <c r="H65" s="274"/>
      <c r="I65" s="274"/>
      <c r="J65" s="274"/>
      <c r="K65" s="274"/>
      <c r="L65" s="274"/>
      <c r="M65" s="274"/>
      <c r="N65" s="63"/>
      <c r="O65" s="63"/>
    </row>
    <row r="66" spans="1:15" ht="14.25" thickBot="1">
      <c r="A66" s="538" t="s">
        <v>89</v>
      </c>
      <c r="B66" s="538"/>
      <c r="C66" s="36">
        <f t="shared" ref="C66:M66" si="34">+C58+C60+C62+C64</f>
        <v>0</v>
      </c>
      <c r="D66" s="36">
        <f t="shared" si="34"/>
        <v>0</v>
      </c>
      <c r="E66" s="36">
        <f>+E58+E60+E62+E64</f>
        <v>0</v>
      </c>
      <c r="F66" s="36">
        <f>+F58+F60+F62+F64</f>
        <v>0</v>
      </c>
      <c r="G66" s="36">
        <f>+G58+G60+G62+G64</f>
        <v>0</v>
      </c>
      <c r="H66" s="36">
        <f>+H58+H60+H62+H64</f>
        <v>0</v>
      </c>
      <c r="I66" s="36">
        <f>+I58+I60+I62+I64</f>
        <v>0</v>
      </c>
      <c r="J66" s="36">
        <f t="shared" si="34"/>
        <v>0</v>
      </c>
      <c r="K66" s="36">
        <f t="shared" si="34"/>
        <v>0</v>
      </c>
      <c r="L66" s="36">
        <f t="shared" si="34"/>
        <v>0</v>
      </c>
      <c r="M66" s="36">
        <f t="shared" si="34"/>
        <v>0</v>
      </c>
    </row>
    <row r="67" spans="1:15" ht="14.25" thickTop="1">
      <c r="A67" s="65"/>
      <c r="B67" s="66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3"/>
      <c r="O67" s="63"/>
    </row>
    <row r="68" spans="1:15" ht="13.5">
      <c r="A68" s="65"/>
      <c r="B68" s="66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3"/>
      <c r="O68" s="63"/>
    </row>
    <row r="69" spans="1:15" ht="13.5">
      <c r="A69" s="536" t="s">
        <v>102</v>
      </c>
      <c r="B69" s="536"/>
      <c r="C69" s="68">
        <f t="shared" ref="C69:M69" si="35">+C29</f>
        <v>21930</v>
      </c>
      <c r="D69" s="68">
        <f t="shared" si="35"/>
        <v>39374.85</v>
      </c>
      <c r="E69" s="68">
        <f>+E29</f>
        <v>73158.608319999999</v>
      </c>
      <c r="F69" s="68">
        <f>+F29</f>
        <v>118739.2916048</v>
      </c>
      <c r="G69" s="68">
        <f>+G29</f>
        <v>175977.35832918721</v>
      </c>
      <c r="H69" s="68">
        <f>+H29</f>
        <v>240070.0350466051</v>
      </c>
      <c r="I69" s="68">
        <f>+I29</f>
        <v>307701.62533807708</v>
      </c>
      <c r="J69" s="68">
        <f t="shared" si="35"/>
        <v>373203.50469885836</v>
      </c>
      <c r="K69" s="68">
        <f t="shared" si="35"/>
        <v>418190.66340600763</v>
      </c>
      <c r="L69" s="68">
        <f t="shared" si="35"/>
        <v>444925.52484325878</v>
      </c>
      <c r="M69" s="68">
        <f t="shared" si="35"/>
        <v>469171.92928212381</v>
      </c>
      <c r="N69" s="63"/>
      <c r="O69" s="63"/>
    </row>
    <row r="70" spans="1:15" ht="13.5">
      <c r="A70" s="536" t="s">
        <v>103</v>
      </c>
      <c r="B70" s="536"/>
      <c r="C70" s="68">
        <f t="shared" ref="C70:M70" si="36">+C41</f>
        <v>0</v>
      </c>
      <c r="D70" s="68">
        <f t="shared" si="36"/>
        <v>0</v>
      </c>
      <c r="E70" s="68">
        <f>+E41</f>
        <v>0</v>
      </c>
      <c r="F70" s="68">
        <f>+F41</f>
        <v>0</v>
      </c>
      <c r="G70" s="68">
        <f>+G41</f>
        <v>0</v>
      </c>
      <c r="H70" s="68">
        <f>+H41</f>
        <v>0</v>
      </c>
      <c r="I70" s="68">
        <f>+I41</f>
        <v>0</v>
      </c>
      <c r="J70" s="68">
        <f t="shared" si="36"/>
        <v>0</v>
      </c>
      <c r="K70" s="68">
        <f t="shared" si="36"/>
        <v>0</v>
      </c>
      <c r="L70" s="68">
        <f t="shared" si="36"/>
        <v>0</v>
      </c>
      <c r="M70" s="68">
        <f t="shared" si="36"/>
        <v>0</v>
      </c>
      <c r="N70" s="63"/>
      <c r="O70" s="63"/>
    </row>
    <row r="71" spans="1:15" ht="13.5">
      <c r="A71" s="536" t="s">
        <v>104</v>
      </c>
      <c r="B71" s="536"/>
      <c r="C71" s="73">
        <f t="shared" ref="C71:M71" si="37">+C69+C70</f>
        <v>21930</v>
      </c>
      <c r="D71" s="73">
        <f t="shared" si="37"/>
        <v>39374.85</v>
      </c>
      <c r="E71" s="73">
        <f>+E69+E70</f>
        <v>73158.608319999999</v>
      </c>
      <c r="F71" s="73">
        <f>+F69+F70</f>
        <v>118739.2916048</v>
      </c>
      <c r="G71" s="73">
        <f>+G69+G70</f>
        <v>175977.35832918721</v>
      </c>
      <c r="H71" s="73">
        <f>+H69+H70</f>
        <v>240070.0350466051</v>
      </c>
      <c r="I71" s="73">
        <f>+I69+I70</f>
        <v>307701.62533807708</v>
      </c>
      <c r="J71" s="73">
        <f t="shared" si="37"/>
        <v>373203.50469885836</v>
      </c>
      <c r="K71" s="73">
        <f t="shared" si="37"/>
        <v>418190.66340600763</v>
      </c>
      <c r="L71" s="73">
        <f t="shared" si="37"/>
        <v>444925.52484325878</v>
      </c>
      <c r="M71" s="73">
        <f t="shared" si="37"/>
        <v>469171.92928212381</v>
      </c>
      <c r="N71" s="63"/>
      <c r="O71" s="63"/>
    </row>
    <row r="72" spans="1:15" ht="14.25" thickBot="1">
      <c r="A72" s="491" t="s">
        <v>105</v>
      </c>
      <c r="B72" s="415">
        <f>+Pressupostos!B18</f>
        <v>0.23</v>
      </c>
      <c r="C72" s="36">
        <f t="shared" ref="C72:M72" si="38">+C69*$B$72</f>
        <v>5043.9000000000005</v>
      </c>
      <c r="D72" s="36">
        <f t="shared" si="38"/>
        <v>9056.2155000000002</v>
      </c>
      <c r="E72" s="36">
        <f>+E69*$B$72</f>
        <v>16826.4799136</v>
      </c>
      <c r="F72" s="36">
        <f>+F69*$B$72</f>
        <v>27310.037069104001</v>
      </c>
      <c r="G72" s="36">
        <f>+G69*$B$72</f>
        <v>40474.792415713062</v>
      </c>
      <c r="H72" s="36">
        <f>+H69*$B$72</f>
        <v>55216.108060719176</v>
      </c>
      <c r="I72" s="36">
        <f>+I69*$B$72</f>
        <v>70771.373827757736</v>
      </c>
      <c r="J72" s="36">
        <f t="shared" si="38"/>
        <v>85836.806080737428</v>
      </c>
      <c r="K72" s="36">
        <f t="shared" si="38"/>
        <v>96183.852583381755</v>
      </c>
      <c r="L72" s="36">
        <f t="shared" si="38"/>
        <v>102332.87071394952</v>
      </c>
      <c r="M72" s="36">
        <f t="shared" si="38"/>
        <v>107909.54373488847</v>
      </c>
      <c r="N72" s="63"/>
      <c r="O72" s="63"/>
    </row>
    <row r="73" spans="1:15" ht="14.25" thickTop="1">
      <c r="A73" s="57"/>
      <c r="B73" s="69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63"/>
      <c r="O73" s="63"/>
    </row>
    <row r="74" spans="1:15" s="71" customFormat="1" ht="13.5">
      <c r="A74" s="57"/>
      <c r="B74" s="69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70"/>
      <c r="O74" s="70"/>
    </row>
    <row r="75" spans="1:15" ht="13.5">
      <c r="A75" s="537" t="s">
        <v>106</v>
      </c>
      <c r="B75" s="537"/>
      <c r="C75" s="68">
        <f t="shared" ref="C75:M75" si="39">+C54</f>
        <v>0</v>
      </c>
      <c r="D75" s="68">
        <f t="shared" si="39"/>
        <v>0</v>
      </c>
      <c r="E75" s="68">
        <f>+E54</f>
        <v>0</v>
      </c>
      <c r="F75" s="68">
        <f>+F54</f>
        <v>0</v>
      </c>
      <c r="G75" s="68">
        <f>+G54</f>
        <v>0</v>
      </c>
      <c r="H75" s="68">
        <f>+H54</f>
        <v>0</v>
      </c>
      <c r="I75" s="68">
        <f>+I54</f>
        <v>0</v>
      </c>
      <c r="J75" s="68">
        <f t="shared" si="39"/>
        <v>0</v>
      </c>
      <c r="K75" s="68">
        <f t="shared" si="39"/>
        <v>0</v>
      </c>
      <c r="L75" s="68">
        <f t="shared" si="39"/>
        <v>0</v>
      </c>
      <c r="M75" s="68">
        <f t="shared" si="39"/>
        <v>0</v>
      </c>
      <c r="N75" s="63"/>
      <c r="O75" s="63"/>
    </row>
    <row r="76" spans="1:15" ht="13.5">
      <c r="A76" s="537" t="s">
        <v>107</v>
      </c>
      <c r="B76" s="537"/>
      <c r="C76" s="68">
        <f t="shared" ref="C76:M76" si="40">+C66</f>
        <v>0</v>
      </c>
      <c r="D76" s="68">
        <f t="shared" si="40"/>
        <v>0</v>
      </c>
      <c r="E76" s="68">
        <f>+E66</f>
        <v>0</v>
      </c>
      <c r="F76" s="68">
        <f>+F66</f>
        <v>0</v>
      </c>
      <c r="G76" s="68">
        <f>+G66</f>
        <v>0</v>
      </c>
      <c r="H76" s="68">
        <f>+H66</f>
        <v>0</v>
      </c>
      <c r="I76" s="68">
        <f>+I66</f>
        <v>0</v>
      </c>
      <c r="J76" s="68">
        <f t="shared" si="40"/>
        <v>0</v>
      </c>
      <c r="K76" s="68">
        <f t="shared" si="40"/>
        <v>0</v>
      </c>
      <c r="L76" s="68">
        <f t="shared" si="40"/>
        <v>0</v>
      </c>
      <c r="M76" s="68">
        <f t="shared" si="40"/>
        <v>0</v>
      </c>
      <c r="N76" s="63"/>
      <c r="O76" s="63"/>
    </row>
    <row r="77" spans="1:15" ht="13.5">
      <c r="A77" s="537" t="s">
        <v>108</v>
      </c>
      <c r="B77" s="537"/>
      <c r="C77" s="73">
        <f t="shared" ref="C77:M77" si="41">+C75+C76</f>
        <v>0</v>
      </c>
      <c r="D77" s="73">
        <f t="shared" si="41"/>
        <v>0</v>
      </c>
      <c r="E77" s="73">
        <f>+E75+E76</f>
        <v>0</v>
      </c>
      <c r="F77" s="73">
        <f>+F75+F76</f>
        <v>0</v>
      </c>
      <c r="G77" s="73">
        <f>+G75+G76</f>
        <v>0</v>
      </c>
      <c r="H77" s="73">
        <f>+H75+H76</f>
        <v>0</v>
      </c>
      <c r="I77" s="73">
        <f>+I75+I76</f>
        <v>0</v>
      </c>
      <c r="J77" s="73">
        <f t="shared" si="41"/>
        <v>0</v>
      </c>
      <c r="K77" s="73">
        <f t="shared" si="41"/>
        <v>0</v>
      </c>
      <c r="L77" s="73">
        <f t="shared" si="41"/>
        <v>0</v>
      </c>
      <c r="M77" s="73">
        <f t="shared" si="41"/>
        <v>0</v>
      </c>
      <c r="N77" s="63"/>
      <c r="O77" s="63"/>
    </row>
    <row r="78" spans="1:15" ht="14.25" thickBot="1">
      <c r="A78" s="491" t="s">
        <v>109</v>
      </c>
      <c r="B78" s="415">
        <f>+Pressupostos!B19</f>
        <v>0.23</v>
      </c>
      <c r="C78" s="36">
        <f t="shared" ref="C78:M78" si="42">+C75*$B$78</f>
        <v>0</v>
      </c>
      <c r="D78" s="36">
        <f t="shared" si="42"/>
        <v>0</v>
      </c>
      <c r="E78" s="36">
        <f>+E75*$B$78</f>
        <v>0</v>
      </c>
      <c r="F78" s="36">
        <f>+F75*$B$78</f>
        <v>0</v>
      </c>
      <c r="G78" s="36">
        <f>+G75*$B$78</f>
        <v>0</v>
      </c>
      <c r="H78" s="36">
        <f>+H75*$B$78</f>
        <v>0</v>
      </c>
      <c r="I78" s="36">
        <f>+I75*$B$78</f>
        <v>0</v>
      </c>
      <c r="J78" s="36">
        <f t="shared" si="42"/>
        <v>0</v>
      </c>
      <c r="K78" s="36">
        <f t="shared" si="42"/>
        <v>0</v>
      </c>
      <c r="L78" s="36">
        <f t="shared" si="42"/>
        <v>0</v>
      </c>
      <c r="M78" s="36">
        <f t="shared" si="42"/>
        <v>0</v>
      </c>
      <c r="N78" s="63"/>
      <c r="O78" s="63"/>
    </row>
    <row r="79" spans="1:15" ht="14.25" thickTop="1">
      <c r="A79" s="65"/>
      <c r="B79" s="66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3"/>
      <c r="O79" s="63"/>
    </row>
    <row r="80" spans="1:15" ht="14.25" thickBot="1">
      <c r="A80" s="534" t="s">
        <v>110</v>
      </c>
      <c r="B80" s="534"/>
      <c r="C80" s="36">
        <f t="shared" ref="C80:M80" si="43">+C71+C77</f>
        <v>21930</v>
      </c>
      <c r="D80" s="36">
        <f t="shared" si="43"/>
        <v>39374.85</v>
      </c>
      <c r="E80" s="36">
        <f>+E71+E77</f>
        <v>73158.608319999999</v>
      </c>
      <c r="F80" s="36">
        <f>+F71+F77</f>
        <v>118739.2916048</v>
      </c>
      <c r="G80" s="36">
        <f>+G71+G77</f>
        <v>175977.35832918721</v>
      </c>
      <c r="H80" s="36">
        <f>+H71+H77</f>
        <v>240070.0350466051</v>
      </c>
      <c r="I80" s="36">
        <f>+I71+I77</f>
        <v>307701.62533807708</v>
      </c>
      <c r="J80" s="36">
        <f t="shared" si="43"/>
        <v>373203.50469885836</v>
      </c>
      <c r="K80" s="36">
        <f t="shared" si="43"/>
        <v>418190.66340600763</v>
      </c>
      <c r="L80" s="36">
        <f t="shared" si="43"/>
        <v>444925.52484325878</v>
      </c>
      <c r="M80" s="36">
        <f t="shared" si="43"/>
        <v>469171.92928212381</v>
      </c>
      <c r="N80" s="63"/>
      <c r="O80" s="63"/>
    </row>
    <row r="81" spans="1:15" ht="14.25" thickTop="1">
      <c r="A81" s="65"/>
      <c r="B81" s="61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3"/>
      <c r="O81" s="63"/>
    </row>
    <row r="82" spans="1:15" ht="14.25" thickBot="1">
      <c r="A82" s="534" t="s">
        <v>111</v>
      </c>
      <c r="B82" s="534"/>
      <c r="C82" s="36">
        <f t="shared" ref="C82:M82" si="44">+C72+C78</f>
        <v>5043.9000000000005</v>
      </c>
      <c r="D82" s="36">
        <f t="shared" si="44"/>
        <v>9056.2155000000002</v>
      </c>
      <c r="E82" s="36">
        <f>+E72+E78</f>
        <v>16826.4799136</v>
      </c>
      <c r="F82" s="36">
        <f>+F72+F78</f>
        <v>27310.037069104001</v>
      </c>
      <c r="G82" s="36">
        <f>+G72+G78</f>
        <v>40474.792415713062</v>
      </c>
      <c r="H82" s="36">
        <f>+H72+H78</f>
        <v>55216.108060719176</v>
      </c>
      <c r="I82" s="36">
        <f>+I72+I78</f>
        <v>70771.373827757736</v>
      </c>
      <c r="J82" s="36">
        <f t="shared" si="44"/>
        <v>85836.806080737428</v>
      </c>
      <c r="K82" s="36">
        <f t="shared" si="44"/>
        <v>96183.852583381755</v>
      </c>
      <c r="L82" s="36">
        <f t="shared" si="44"/>
        <v>102332.87071394952</v>
      </c>
      <c r="M82" s="36">
        <f t="shared" si="44"/>
        <v>107909.54373488847</v>
      </c>
      <c r="N82" s="63"/>
      <c r="O82" s="63"/>
    </row>
    <row r="83" spans="1:15" ht="14.25" thickTop="1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63"/>
      <c r="O83" s="63"/>
    </row>
    <row r="84" spans="1:15" ht="14.25" thickBot="1">
      <c r="A84" s="534" t="s">
        <v>112</v>
      </c>
      <c r="B84" s="534"/>
      <c r="C84" s="36">
        <f t="shared" ref="C84:M84" si="45">+C80+C82</f>
        <v>26973.9</v>
      </c>
      <c r="D84" s="36">
        <f t="shared" si="45"/>
        <v>48431.065499999997</v>
      </c>
      <c r="E84" s="36">
        <f>+E80+E82</f>
        <v>89985.088233599992</v>
      </c>
      <c r="F84" s="36">
        <f>+F80+F82</f>
        <v>146049.328673904</v>
      </c>
      <c r="G84" s="36">
        <f>+G80+G82</f>
        <v>216452.15074490028</v>
      </c>
      <c r="H84" s="36">
        <f>+H80+H82</f>
        <v>295286.14310732426</v>
      </c>
      <c r="I84" s="36">
        <f>+I80+I82</f>
        <v>378472.9991658348</v>
      </c>
      <c r="J84" s="36">
        <f t="shared" si="45"/>
        <v>459040.31077959581</v>
      </c>
      <c r="K84" s="36">
        <f t="shared" si="45"/>
        <v>514374.51598938939</v>
      </c>
      <c r="L84" s="36">
        <f t="shared" si="45"/>
        <v>547258.39555720834</v>
      </c>
      <c r="M84" s="36">
        <f t="shared" si="45"/>
        <v>577081.47301701223</v>
      </c>
      <c r="N84" s="63"/>
      <c r="O84" s="63"/>
    </row>
    <row r="85" spans="1:15" ht="14.25" thickTop="1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63"/>
      <c r="O85" s="63"/>
    </row>
    <row r="86" spans="1:15" ht="13.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63"/>
      <c r="O86" s="63"/>
    </row>
    <row r="87" spans="1:15" ht="14.25" thickBot="1">
      <c r="A87" s="72" t="s">
        <v>113</v>
      </c>
      <c r="B87" s="416">
        <v>0</v>
      </c>
      <c r="C87" s="36">
        <f t="shared" ref="C87:M87" si="46">+$B$87*C84</f>
        <v>0</v>
      </c>
      <c r="D87" s="36">
        <f t="shared" si="46"/>
        <v>0</v>
      </c>
      <c r="E87" s="36">
        <f>+$B$87*E84</f>
        <v>0</v>
      </c>
      <c r="F87" s="36">
        <f>+$B$87*F84</f>
        <v>0</v>
      </c>
      <c r="G87" s="36">
        <f>+$B$87*G84</f>
        <v>0</v>
      </c>
      <c r="H87" s="36">
        <f>+$B$87*H84</f>
        <v>0</v>
      </c>
      <c r="I87" s="36">
        <f>+$B$87*I84</f>
        <v>0</v>
      </c>
      <c r="J87" s="36">
        <f t="shared" si="46"/>
        <v>0</v>
      </c>
      <c r="K87" s="36">
        <f t="shared" si="46"/>
        <v>0</v>
      </c>
      <c r="L87" s="36">
        <f t="shared" si="46"/>
        <v>0</v>
      </c>
      <c r="M87" s="36">
        <f t="shared" si="46"/>
        <v>0</v>
      </c>
      <c r="N87" s="63"/>
      <c r="O87" s="63"/>
    </row>
    <row r="88" spans="1:15" ht="14.25" thickTop="1">
      <c r="A88" s="54"/>
      <c r="B88" s="54" t="s">
        <v>114</v>
      </c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</row>
    <row r="89" spans="1:15" ht="13.5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</row>
    <row r="90" spans="1:15" ht="13.5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</row>
    <row r="91" spans="1:15" ht="13.5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</row>
    <row r="92" spans="1:15" ht="13.5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</row>
    <row r="93" spans="1:15" ht="13.5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</row>
    <row r="94" spans="1:15" ht="13.5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</row>
    <row r="95" spans="1:15" ht="13.5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</row>
    <row r="96" spans="1:15" ht="13.5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</row>
    <row r="97" spans="1:13" ht="13.5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</row>
    <row r="98" spans="1:13" ht="13.5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</row>
    <row r="99" spans="1:13" ht="13.5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</row>
    <row r="100" spans="1:13" ht="13.5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</row>
    <row r="101" spans="1:13" ht="13.5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</row>
    <row r="102" spans="1:13" ht="13.5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</row>
    <row r="103" spans="1:13" ht="13.5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</row>
    <row r="104" spans="1:13" ht="13.5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</row>
    <row r="105" spans="1:13" ht="13.5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</row>
    <row r="106" spans="1:13" ht="13.5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</row>
    <row r="107" spans="1:13" ht="13.5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</row>
    <row r="108" spans="1:13" ht="13.5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</row>
    <row r="109" spans="1:13" ht="13.5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</row>
    <row r="110" spans="1:13" ht="13.5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</row>
    <row r="111" spans="1:13" ht="13.5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</row>
    <row r="112" spans="1:13" ht="13.5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</row>
    <row r="113" spans="1:13" ht="13.5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</row>
    <row r="114" spans="1:13" ht="13.5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</row>
    <row r="115" spans="1:13" ht="13.5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</row>
    <row r="116" spans="1:13" ht="13.5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</row>
    <row r="117" spans="1:13" ht="13.5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</row>
    <row r="118" spans="1:13" ht="13.5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</row>
    <row r="119" spans="1:13" ht="13.5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</row>
    <row r="120" spans="1:13" ht="13.5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</row>
    <row r="121" spans="1:13" ht="13.5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</row>
    <row r="122" spans="1:13" ht="13.5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</row>
    <row r="123" spans="1:13" ht="13.5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</row>
    <row r="124" spans="1:13" ht="13.5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</row>
    <row r="125" spans="1:13" ht="13.5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</row>
    <row r="126" spans="1:13" ht="13.5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</row>
    <row r="127" spans="1:13" ht="13.5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</row>
    <row r="128" spans="1:13" ht="13.5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</row>
    <row r="129" spans="1:13" ht="13.5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</row>
    <row r="130" spans="1:13" ht="13.5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</row>
    <row r="131" spans="1:13" ht="13.5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</row>
    <row r="132" spans="1:13" ht="13.5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</row>
    <row r="133" spans="1:13" ht="13.5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</row>
    <row r="134" spans="1:13" ht="13.5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</row>
    <row r="135" spans="1:13" ht="13.5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</row>
    <row r="136" spans="1:13" ht="13.5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</row>
    <row r="137" spans="1:13" ht="13.5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</row>
    <row r="138" spans="1:13" ht="13.5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</row>
    <row r="139" spans="1:13" ht="13.5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</row>
    <row r="140" spans="1:13" ht="13.5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</row>
    <row r="141" spans="1:13" ht="13.5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</row>
    <row r="142" spans="1:13" ht="13.5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</row>
    <row r="143" spans="1:13" ht="13.5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</row>
    <row r="144" spans="1:13" ht="13.5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</row>
    <row r="145" spans="1:13" ht="13.5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</row>
    <row r="146" spans="1:13" ht="13.5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</row>
    <row r="147" spans="1:13" ht="13.5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</row>
    <row r="148" spans="1:13" ht="13.5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63"/>
    </row>
    <row r="149" spans="1:13" ht="13.5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</row>
    <row r="150" spans="1:13" ht="13.5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</row>
    <row r="151" spans="1:13" ht="13.5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</row>
    <row r="152" spans="1:13" ht="13.5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</row>
    <row r="153" spans="1:13" ht="13.5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</row>
    <row r="154" spans="1:13" ht="13.5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</row>
    <row r="155" spans="1:13" ht="13.5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</row>
    <row r="156" spans="1:13" ht="13.5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</row>
    <row r="157" spans="1:13" ht="13.5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</row>
    <row r="158" spans="1:13" ht="13.5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</row>
    <row r="159" spans="1:13" ht="13.5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</row>
    <row r="160" spans="1:13" ht="13.5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</row>
    <row r="161" spans="1:13" ht="13.5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</row>
    <row r="162" spans="1:13" ht="13.5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</row>
    <row r="163" spans="1:13" ht="13.5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</row>
    <row r="164" spans="1:13" ht="13.5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</row>
    <row r="165" spans="1:13" ht="13.5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</row>
    <row r="166" spans="1:13" ht="13.5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</row>
    <row r="167" spans="1:13" ht="13.5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</row>
    <row r="168" spans="1:13" ht="13.5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</row>
    <row r="169" spans="1:13" ht="13.5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</row>
    <row r="170" spans="1:13" ht="13.5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</row>
    <row r="171" spans="1:13" ht="13.5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</row>
    <row r="172" spans="1:13" ht="13.5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</row>
    <row r="173" spans="1:13" ht="13.5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</row>
    <row r="174" spans="1:13" ht="13.5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</row>
    <row r="175" spans="1:13" ht="13.5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</row>
    <row r="176" spans="1:13" ht="13.5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</row>
    <row r="177" spans="1:13" ht="13.5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</row>
    <row r="178" spans="1:13" ht="13.5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</row>
    <row r="179" spans="1:13" ht="13.5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</row>
    <row r="180" spans="1:13" ht="13.5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</row>
    <row r="181" spans="1:13" ht="13.5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</row>
    <row r="182" spans="1:13" ht="13.5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</row>
    <row r="183" spans="1:13" ht="13.5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</row>
    <row r="184" spans="1:13" ht="13.5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</row>
    <row r="185" spans="1:13" ht="13.5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</row>
    <row r="186" spans="1:13" ht="13.5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</row>
    <row r="187" spans="1:13" ht="13.5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</row>
    <row r="188" spans="1:13" ht="13.5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</row>
    <row r="189" spans="1:13" ht="13.5">
      <c r="A189" s="63"/>
      <c r="B189" s="63"/>
      <c r="C189" s="63"/>
      <c r="D189" s="63"/>
      <c r="E189" s="63"/>
      <c r="F189" s="63"/>
      <c r="G189" s="63"/>
      <c r="H189" s="63"/>
      <c r="I189" s="63"/>
      <c r="J189" s="63"/>
      <c r="K189" s="63"/>
      <c r="L189" s="63"/>
      <c r="M189" s="63"/>
    </row>
    <row r="190" spans="1:13" ht="13.5">
      <c r="A190" s="63"/>
      <c r="B190" s="63"/>
      <c r="C190" s="63"/>
      <c r="D190" s="63"/>
      <c r="E190" s="63"/>
      <c r="F190" s="63"/>
      <c r="G190" s="63"/>
      <c r="H190" s="63"/>
      <c r="I190" s="63"/>
      <c r="J190" s="63"/>
      <c r="K190" s="63"/>
      <c r="L190" s="63"/>
      <c r="M190" s="63"/>
    </row>
    <row r="191" spans="1:13" ht="13.5">
      <c r="A191" s="63"/>
      <c r="B191" s="63"/>
      <c r="C191" s="63"/>
      <c r="D191" s="63"/>
      <c r="E191" s="63"/>
      <c r="F191" s="63"/>
      <c r="G191" s="63"/>
      <c r="H191" s="63"/>
      <c r="I191" s="63"/>
      <c r="J191" s="63"/>
      <c r="K191" s="63"/>
      <c r="L191" s="63"/>
      <c r="M191" s="63"/>
    </row>
    <row r="192" spans="1:13" ht="13.5">
      <c r="A192" s="63"/>
      <c r="B192" s="63"/>
      <c r="C192" s="63"/>
      <c r="D192" s="63"/>
      <c r="E192" s="63"/>
      <c r="F192" s="63"/>
      <c r="G192" s="63"/>
      <c r="H192" s="63"/>
      <c r="I192" s="63"/>
      <c r="J192" s="63"/>
      <c r="K192" s="63"/>
      <c r="L192" s="63"/>
      <c r="M192" s="63"/>
    </row>
    <row r="193" spans="1:13" ht="13.5">
      <c r="A193" s="63"/>
      <c r="B193" s="63"/>
      <c r="C193" s="63"/>
      <c r="D193" s="63"/>
      <c r="E193" s="63"/>
      <c r="F193" s="63"/>
      <c r="G193" s="63"/>
      <c r="H193" s="63"/>
      <c r="I193" s="63"/>
      <c r="J193" s="63"/>
      <c r="K193" s="63"/>
      <c r="L193" s="63"/>
      <c r="M193" s="63"/>
    </row>
    <row r="194" spans="1:13" ht="13.5">
      <c r="A194" s="63"/>
      <c r="B194" s="63"/>
      <c r="C194" s="63"/>
      <c r="D194" s="63"/>
      <c r="E194" s="63"/>
      <c r="F194" s="63"/>
      <c r="G194" s="63"/>
      <c r="H194" s="63"/>
      <c r="I194" s="63"/>
      <c r="J194" s="63"/>
      <c r="K194" s="63"/>
      <c r="L194" s="63"/>
      <c r="M194" s="63"/>
    </row>
    <row r="195" spans="1:13" ht="13.5">
      <c r="A195" s="63"/>
      <c r="B195" s="63"/>
      <c r="C195" s="63"/>
      <c r="D195" s="63"/>
      <c r="E195" s="63"/>
      <c r="F195" s="63"/>
      <c r="G195" s="63"/>
      <c r="H195" s="63"/>
      <c r="I195" s="63"/>
      <c r="J195" s="63"/>
      <c r="K195" s="63"/>
      <c r="L195" s="63"/>
      <c r="M195" s="63"/>
    </row>
    <row r="196" spans="1:13" ht="13.5">
      <c r="A196" s="63"/>
      <c r="B196" s="63"/>
      <c r="C196" s="63"/>
      <c r="D196" s="63"/>
      <c r="E196" s="63"/>
      <c r="F196" s="63"/>
      <c r="G196" s="63"/>
      <c r="H196" s="63"/>
      <c r="I196" s="63"/>
      <c r="J196" s="63"/>
      <c r="K196" s="63"/>
      <c r="L196" s="63"/>
      <c r="M196" s="63"/>
    </row>
    <row r="197" spans="1:13" ht="13.5">
      <c r="A197" s="63"/>
      <c r="B197" s="63"/>
      <c r="C197" s="63"/>
      <c r="D197" s="63"/>
      <c r="E197" s="63"/>
      <c r="F197" s="63"/>
      <c r="G197" s="63"/>
      <c r="H197" s="63"/>
      <c r="I197" s="63"/>
      <c r="J197" s="63"/>
      <c r="K197" s="63"/>
      <c r="L197" s="63"/>
      <c r="M197" s="63"/>
    </row>
    <row r="198" spans="1:13" ht="13.5">
      <c r="A198" s="63"/>
      <c r="B198" s="63"/>
      <c r="C198" s="63"/>
      <c r="D198" s="63"/>
      <c r="E198" s="63"/>
      <c r="F198" s="63"/>
      <c r="G198" s="63"/>
      <c r="H198" s="63"/>
      <c r="I198" s="63"/>
      <c r="J198" s="63"/>
      <c r="K198" s="63"/>
      <c r="L198" s="63"/>
      <c r="M198" s="63"/>
    </row>
    <row r="199" spans="1:13" ht="13.5">
      <c r="A199" s="63"/>
      <c r="B199" s="63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63"/>
    </row>
    <row r="200" spans="1:13" ht="13.5">
      <c r="A200" s="63"/>
      <c r="B200" s="63"/>
      <c r="C200" s="63"/>
      <c r="D200" s="63"/>
      <c r="E200" s="63"/>
      <c r="F200" s="63"/>
      <c r="G200" s="63"/>
      <c r="H200" s="63"/>
      <c r="I200" s="63"/>
      <c r="J200" s="63"/>
      <c r="K200" s="63"/>
      <c r="L200" s="63"/>
      <c r="M200" s="63"/>
    </row>
    <row r="201" spans="1:13" ht="13.5">
      <c r="A201" s="63"/>
      <c r="B201" s="63"/>
      <c r="C201" s="63"/>
      <c r="D201" s="63"/>
      <c r="E201" s="63"/>
      <c r="F201" s="63"/>
      <c r="G201" s="63"/>
      <c r="H201" s="63"/>
      <c r="I201" s="63"/>
      <c r="J201" s="63"/>
      <c r="K201" s="63"/>
      <c r="L201" s="63"/>
      <c r="M201" s="63"/>
    </row>
    <row r="202" spans="1:13" ht="13.5">
      <c r="A202" s="63"/>
      <c r="B202" s="63"/>
      <c r="C202" s="63"/>
      <c r="D202" s="63"/>
      <c r="E202" s="63"/>
      <c r="F202" s="63"/>
      <c r="G202" s="63"/>
      <c r="H202" s="63"/>
      <c r="I202" s="63"/>
      <c r="J202" s="63"/>
      <c r="K202" s="63"/>
      <c r="L202" s="63"/>
      <c r="M202" s="63"/>
    </row>
    <row r="203" spans="1:13" ht="13.5">
      <c r="A203" s="63"/>
      <c r="B203" s="63"/>
      <c r="C203" s="63"/>
      <c r="D203" s="63"/>
      <c r="E203" s="63"/>
      <c r="F203" s="63"/>
      <c r="G203" s="63"/>
      <c r="H203" s="63"/>
      <c r="I203" s="63"/>
      <c r="J203" s="63"/>
      <c r="K203" s="63"/>
      <c r="L203" s="63"/>
      <c r="M203" s="63"/>
    </row>
  </sheetData>
  <sheetProtection password="8318" sheet="1"/>
  <mergeCells count="33"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4:M4"/>
    <mergeCell ref="A29:B29"/>
    <mergeCell ref="A12:B12"/>
    <mergeCell ref="A8:B8"/>
    <mergeCell ref="A13:B13"/>
    <mergeCell ref="A17:B17"/>
    <mergeCell ref="A21:B21"/>
    <mergeCell ref="A25:B2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B72 B78 D8 D50 D5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"/>
  <dimension ref="A1:N140"/>
  <sheetViews>
    <sheetView showGridLines="0" showZeros="0" zoomScale="150" zoomScaleNormal="150" workbookViewId="0">
      <selection activeCell="E5" sqref="E5"/>
    </sheetView>
  </sheetViews>
  <sheetFormatPr defaultColWidth="8.85546875" defaultRowHeight="11.1"/>
  <cols>
    <col min="1" max="1" width="30.85546875" style="50" customWidth="1"/>
    <col min="2" max="2" width="7.85546875" style="50" customWidth="1"/>
    <col min="3" max="3" width="8.85546875" style="50" customWidth="1"/>
    <col min="4" max="4" width="8.5703125" style="50" customWidth="1"/>
    <col min="5" max="7" width="7.85546875" style="50" customWidth="1"/>
    <col min="8" max="13" width="8.42578125" style="50" customWidth="1"/>
    <col min="14" max="19" width="11.42578125" style="50" customWidth="1"/>
    <col min="20" max="16384" width="8.85546875" style="50"/>
  </cols>
  <sheetData>
    <row r="1" spans="1:14" ht="14.25">
      <c r="A1" s="46"/>
      <c r="B1" s="46"/>
      <c r="C1" s="47"/>
      <c r="D1" s="47"/>
      <c r="E1" s="47"/>
      <c r="F1" s="47"/>
      <c r="G1" s="47"/>
      <c r="H1" s="47"/>
      <c r="I1" s="47"/>
      <c r="J1" s="47"/>
      <c r="K1" s="47"/>
      <c r="L1" s="48" t="s">
        <v>115</v>
      </c>
      <c r="M1" s="49" t="str">
        <f>+Pressupostos!E1</f>
        <v>DUQUESA</v>
      </c>
    </row>
    <row r="2" spans="1:14" ht="13.5">
      <c r="A2" s="51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52" t="str">
        <f>+Pressupostos!B9</f>
        <v>Euros</v>
      </c>
      <c r="N2" s="63"/>
    </row>
    <row r="3" spans="1:14" ht="13.5">
      <c r="A3" s="51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52"/>
      <c r="N3" s="63"/>
    </row>
    <row r="4" spans="1:14" ht="16.5">
      <c r="A4" s="526" t="s">
        <v>116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63"/>
    </row>
    <row r="5" spans="1:14" ht="13.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63"/>
    </row>
    <row r="6" spans="1:14" ht="13.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63"/>
    </row>
    <row r="7" spans="1:14" ht="22.5">
      <c r="A7" s="75" t="s">
        <v>117</v>
      </c>
      <c r="B7" s="76" t="s">
        <v>118</v>
      </c>
      <c r="C7" s="77">
        <f>+VN!C8</f>
        <v>2020</v>
      </c>
      <c r="D7" s="77">
        <f>+VN!D8</f>
        <v>2021</v>
      </c>
      <c r="E7" s="77">
        <f>+VN!E8</f>
        <v>2022</v>
      </c>
      <c r="F7" s="77">
        <f>+VN!F8</f>
        <v>2023</v>
      </c>
      <c r="G7" s="77">
        <f>+VN!G8</f>
        <v>2024</v>
      </c>
      <c r="H7" s="77">
        <f>+VN!H8</f>
        <v>2025</v>
      </c>
      <c r="I7" s="77">
        <f>+VN!I8</f>
        <v>2026</v>
      </c>
      <c r="J7" s="77">
        <f>+VN!J8</f>
        <v>2027</v>
      </c>
      <c r="K7" s="77">
        <f>+VN!K8</f>
        <v>2028</v>
      </c>
      <c r="L7" s="77">
        <f>+VN!L8</f>
        <v>2029</v>
      </c>
      <c r="M7" s="77">
        <f>+VN!M8</f>
        <v>2030</v>
      </c>
      <c r="N7" s="63"/>
    </row>
    <row r="8" spans="1:14" ht="13.5">
      <c r="A8" s="75" t="s">
        <v>119</v>
      </c>
      <c r="B8" s="365"/>
      <c r="C8" s="366">
        <f t="shared" ref="C8:M8" si="0">+SUM(C9:C12)</f>
        <v>6891.4792714740406</v>
      </c>
      <c r="D8" s="366">
        <f t="shared" si="0"/>
        <v>12479.320315539804</v>
      </c>
      <c r="E8" s="366">
        <f t="shared" ref="E8:J8" si="1">+SUM(E9:E12)</f>
        <v>22798.592388448695</v>
      </c>
      <c r="F8" s="366">
        <f t="shared" si="1"/>
        <v>35832.928492546285</v>
      </c>
      <c r="G8" s="366">
        <f t="shared" si="1"/>
        <v>52200.076709370158</v>
      </c>
      <c r="H8" s="366">
        <f t="shared" si="1"/>
        <v>70448.163515895954</v>
      </c>
      <c r="I8" s="366">
        <f t="shared" si="1"/>
        <v>88668.648924184468</v>
      </c>
      <c r="J8" s="366">
        <f t="shared" si="1"/>
        <v>105894.31431995785</v>
      </c>
      <c r="K8" s="366">
        <f t="shared" si="0"/>
        <v>117025.47202808101</v>
      </c>
      <c r="L8" s="366">
        <f t="shared" si="0"/>
        <v>123568.34800015617</v>
      </c>
      <c r="M8" s="366">
        <f t="shared" si="0"/>
        <v>129516.60395613647</v>
      </c>
      <c r="N8" s="63"/>
    </row>
    <row r="9" spans="1:14" ht="13.5">
      <c r="A9" s="78" t="str">
        <f>+VN!A13</f>
        <v>Duquesa</v>
      </c>
      <c r="B9" s="32">
        <f>1-('Calculos Auxiliares'!G89/AVERAGE(VN!C13:H13))</f>
        <v>0.62426764838767368</v>
      </c>
      <c r="C9" s="367">
        <f>VN!C13*(1-CMVMC!$B$9)</f>
        <v>6402.4792714740406</v>
      </c>
      <c r="D9" s="367">
        <f>VN!D13*(1-CMVMC!$B$9)</f>
        <v>11639.707315539805</v>
      </c>
      <c r="E9" s="367">
        <f>VN!E13*(1-CMVMC!$B$9)</f>
        <v>19985.377460781845</v>
      </c>
      <c r="F9" s="367">
        <f>VN!F13*(1-CMVMC!$B$9)</f>
        <v>30277.846853084495</v>
      </c>
      <c r="G9" s="367">
        <f>VN!G13*(1-CMVMC!$B$9)</f>
        <v>42812.875450261476</v>
      </c>
      <c r="H9" s="367">
        <f>VN!H13*(1-CMVMC!$B$9)</f>
        <v>56213.305466193327</v>
      </c>
      <c r="I9" s="367">
        <f>VN!I13*(1-CMVMC!$B$9)</f>
        <v>68130.526225026319</v>
      </c>
      <c r="J9" s="367">
        <f>VN!J13*(1-CMVMC!$B$9)</f>
        <v>79133.606210368045</v>
      </c>
      <c r="K9" s="367">
        <f>VN!K13*(1-CMVMC!$B$9)</f>
        <v>86318.937654269466</v>
      </c>
      <c r="L9" s="367">
        <f>VN!L13*(1-CMVMC!$B$9)</f>
        <v>89797.590841736528</v>
      </c>
      <c r="M9" s="367">
        <f>VN!M13*(1-CMVMC!$B$9)</f>
        <v>93416.433752658515</v>
      </c>
      <c r="N9" s="63"/>
    </row>
    <row r="10" spans="1:14" ht="13.5">
      <c r="A10" s="78" t="str">
        <f>+VN!A17</f>
        <v>Duquesa Aroma A</v>
      </c>
      <c r="B10" s="32">
        <f>1-('Calculos Auxiliares'!G90/AVERAGE(VN!E17:H17))</f>
        <v>0.772437450052055</v>
      </c>
      <c r="C10" s="367">
        <f>VN!C17*(1-CMVMC!$B$10)</f>
        <v>0</v>
      </c>
      <c r="D10" s="367">
        <f>VN!D17*(1-CMVMC!$B$10)</f>
        <v>0</v>
      </c>
      <c r="E10" s="367">
        <f>VN!E17*(1-CMVMC!$B$10)</f>
        <v>1456.400319666848</v>
      </c>
      <c r="F10" s="367">
        <f>VN!F17*(1-CMVMC!$B$10)</f>
        <v>2912.8006393336959</v>
      </c>
      <c r="G10" s="367">
        <f>VN!G17*(1-CMVMC!$B$10)</f>
        <v>5295.4715623086595</v>
      </c>
      <c r="H10" s="367">
        <f>VN!H17*(1-CMVMC!$B$10)</f>
        <v>8557.4820446907943</v>
      </c>
      <c r="I10" s="367">
        <f>VN!I17*(1-CMVMC!$B$10)</f>
        <v>12964.585297706553</v>
      </c>
      <c r="J10" s="367">
        <f>VN!J17*(1-CMVMC!$B$10)</f>
        <v>17022.500495888704</v>
      </c>
      <c r="K10" s="367">
        <f>VN!K17*(1-CMVMC!$B$10)</f>
        <v>18911.99805093235</v>
      </c>
      <c r="L10" s="367">
        <f>VN!L17*(1-CMVMC!$B$10)</f>
        <v>21011.22983458584</v>
      </c>
      <c r="M10" s="367">
        <f>VN!M17*(1-CMVMC!$B$10)</f>
        <v>22282.409239578283</v>
      </c>
      <c r="N10" s="63"/>
    </row>
    <row r="11" spans="1:14" ht="13.5">
      <c r="A11" s="78" t="str">
        <f>+VN!A21</f>
        <v>Duquesa Aroma B</v>
      </c>
      <c r="B11" s="32">
        <f>1-('Calculos Auxiliares'!G91/AVERAGE(VN!F21:H21))</f>
        <v>0.87776940228998068</v>
      </c>
      <c r="C11" s="367">
        <f>VN!C21*(1-CMVMC!$B$11)</f>
        <v>0</v>
      </c>
      <c r="D11" s="367">
        <f>VN!D21*(1-CMVMC!$B$11)</f>
        <v>0</v>
      </c>
      <c r="E11" s="367">
        <f>VN!E21*(1-CMVMC!$B$11)</f>
        <v>0</v>
      </c>
      <c r="F11" s="367">
        <f>VN!F21*(1-CMVMC!$B$11)</f>
        <v>586.70686900809278</v>
      </c>
      <c r="G11" s="367">
        <f>VN!G21*(1-CMVMC!$B$11)</f>
        <v>1185.1478753963472</v>
      </c>
      <c r="H11" s="367">
        <f>VN!H21*(1-CMVMC!$B$11)</f>
        <v>2154.5988374705594</v>
      </c>
      <c r="I11" s="367">
        <f>VN!I21*(1-CMVMC!$B$11)</f>
        <v>3481.8317213524242</v>
      </c>
      <c r="J11" s="367">
        <f>VN!J21*(1-CMVMC!$B$11)</f>
        <v>5274.975057848922</v>
      </c>
      <c r="K11" s="367">
        <f>VN!K21*(1-CMVMC!$B$11)</f>
        <v>6926.0422509556347</v>
      </c>
      <c r="L11" s="367">
        <f>VN!L21*(1-CMVMC!$B$11)</f>
        <v>7694.8329408117115</v>
      </c>
      <c r="M11" s="367">
        <f>VN!M21*(1-CMVMC!$B$11)</f>
        <v>8548.9593972418115</v>
      </c>
      <c r="N11" s="63"/>
    </row>
    <row r="12" spans="1:14" ht="13.5">
      <c r="A12" s="78" t="str">
        <f>+VN!A25</f>
        <v>Aperitivo</v>
      </c>
      <c r="B12" s="32">
        <v>0.9</v>
      </c>
      <c r="C12" s="367">
        <f>VN!C25*(1-CMVMC!$B$12)</f>
        <v>488.99999999999989</v>
      </c>
      <c r="D12" s="367">
        <f>VN!D25*(1-CMVMC!$B$12)</f>
        <v>839.61299999999972</v>
      </c>
      <c r="E12" s="367">
        <f>VN!E25*(1-CMVMC!$B$12)</f>
        <v>1356.8146079999997</v>
      </c>
      <c r="F12" s="367">
        <f>VN!F25*(1-CMVMC!$B$12)</f>
        <v>2055.5741311199999</v>
      </c>
      <c r="G12" s="367">
        <f>VN!G25*(1-CMVMC!$B$12)</f>
        <v>2906.5818214036794</v>
      </c>
      <c r="H12" s="367">
        <f>VN!H25*(1-CMVMC!$B$12)</f>
        <v>3522.77716754126</v>
      </c>
      <c r="I12" s="367">
        <f>VN!I25*(1-CMVMC!$B$12)</f>
        <v>4091.7056800991732</v>
      </c>
      <c r="J12" s="367">
        <f>VN!J25*(1-CMVMC!$B$12)</f>
        <v>4463.2325558521788</v>
      </c>
      <c r="K12" s="367">
        <f>VN!K25*(1-CMVMC!$B$12)</f>
        <v>4868.4940719235565</v>
      </c>
      <c r="L12" s="367">
        <f>VN!L25*(1-CMVMC!$B$12)</f>
        <v>5064.6943830220771</v>
      </c>
      <c r="M12" s="367">
        <f>VN!M25*(1-CMVMC!$B$12)</f>
        <v>5268.8015666578667</v>
      </c>
      <c r="N12" s="63"/>
    </row>
    <row r="13" spans="1:14" ht="13.5">
      <c r="A13" s="75" t="s">
        <v>120</v>
      </c>
      <c r="B13" s="79"/>
      <c r="C13" s="111">
        <f t="shared" ref="C13:M13" si="2">+C15+C14</f>
        <v>0</v>
      </c>
      <c r="D13" s="111">
        <f t="shared" si="2"/>
        <v>0</v>
      </c>
      <c r="E13" s="111">
        <f t="shared" ref="E13:J13" si="3">+E15+E14</f>
        <v>0</v>
      </c>
      <c r="F13" s="111">
        <f t="shared" si="3"/>
        <v>0</v>
      </c>
      <c r="G13" s="111">
        <f t="shared" si="3"/>
        <v>0</v>
      </c>
      <c r="H13" s="111">
        <f t="shared" si="3"/>
        <v>0</v>
      </c>
      <c r="I13" s="111">
        <f t="shared" si="3"/>
        <v>0</v>
      </c>
      <c r="J13" s="111">
        <f t="shared" si="3"/>
        <v>0</v>
      </c>
      <c r="K13" s="111">
        <f t="shared" si="2"/>
        <v>0</v>
      </c>
      <c r="L13" s="111">
        <f t="shared" si="2"/>
        <v>0</v>
      </c>
      <c r="M13" s="111">
        <f t="shared" si="2"/>
        <v>0</v>
      </c>
      <c r="N13" s="63"/>
    </row>
    <row r="14" spans="1:14" ht="13.5">
      <c r="A14" s="78" t="str">
        <f>+VN!A33</f>
        <v>Produto A*</v>
      </c>
      <c r="B14" s="32"/>
      <c r="C14" s="367">
        <f>VN!C33*(1-CMVMC!$B$14)</f>
        <v>0</v>
      </c>
      <c r="D14" s="367">
        <f>VN!D33*(1-CMVMC!$B$14)</f>
        <v>0</v>
      </c>
      <c r="E14" s="367">
        <f>VN!E33*(1-CMVMC!$B$14)</f>
        <v>0</v>
      </c>
      <c r="F14" s="367">
        <f>VN!F33*(1-CMVMC!$B$14)</f>
        <v>0</v>
      </c>
      <c r="G14" s="367">
        <f>VN!G33*(1-CMVMC!$B$14)</f>
        <v>0</v>
      </c>
      <c r="H14" s="367">
        <f>VN!H33*(1-CMVMC!$B$14)</f>
        <v>0</v>
      </c>
      <c r="I14" s="367">
        <f>VN!I33*(1-CMVMC!$B$14)</f>
        <v>0</v>
      </c>
      <c r="J14" s="367">
        <f>VN!J33*(1-CMVMC!$B$14)</f>
        <v>0</v>
      </c>
      <c r="K14" s="367">
        <f>VN!K33*(1-CMVMC!$B$14)</f>
        <v>0</v>
      </c>
      <c r="L14" s="367">
        <f>VN!L33*(1-CMVMC!$B$14)</f>
        <v>0</v>
      </c>
      <c r="M14" s="367">
        <f>VN!M33*(1-CMVMC!$B$14)</f>
        <v>0</v>
      </c>
      <c r="N14" s="63"/>
    </row>
    <row r="15" spans="1:14" ht="13.5">
      <c r="A15" s="78" t="str">
        <f>+VN!A37</f>
        <v>Produto B *</v>
      </c>
      <c r="B15" s="32"/>
      <c r="C15" s="367">
        <f>VN!C37*(1-CMVMC!$B$15)</f>
        <v>0</v>
      </c>
      <c r="D15" s="367">
        <f>VN!D37*(1-CMVMC!$B$15)</f>
        <v>0</v>
      </c>
      <c r="E15" s="367">
        <f>VN!E37*(1-CMVMC!$B$15)</f>
        <v>0</v>
      </c>
      <c r="F15" s="367">
        <f>VN!F37*(1-CMVMC!$B$15)</f>
        <v>0</v>
      </c>
      <c r="G15" s="367">
        <f>VN!G37*(1-CMVMC!$B$15)</f>
        <v>0</v>
      </c>
      <c r="H15" s="367">
        <f>VN!H37*(1-CMVMC!$B$15)</f>
        <v>0</v>
      </c>
      <c r="I15" s="367">
        <f>VN!I37*(1-CMVMC!$B$15)</f>
        <v>0</v>
      </c>
      <c r="J15" s="367">
        <f>VN!J37*(1-CMVMC!$B$15)</f>
        <v>0</v>
      </c>
      <c r="K15" s="367">
        <f>VN!K37*(1-CMVMC!$B$15)</f>
        <v>0</v>
      </c>
      <c r="L15" s="367">
        <f>VN!L37*(1-CMVMC!$B$15)</f>
        <v>0</v>
      </c>
      <c r="M15" s="367">
        <f>VN!M37*(1-CMVMC!$B$15)</f>
        <v>0</v>
      </c>
      <c r="N15" s="63"/>
    </row>
    <row r="16" spans="1:14" ht="14.25" thickBot="1">
      <c r="A16" s="538" t="s">
        <v>121</v>
      </c>
      <c r="B16" s="538"/>
      <c r="C16" s="368">
        <f t="shared" ref="C16:M16" si="4">+C8+C13</f>
        <v>6891.4792714740406</v>
      </c>
      <c r="D16" s="368">
        <f t="shared" si="4"/>
        <v>12479.320315539804</v>
      </c>
      <c r="E16" s="368">
        <f t="shared" ref="E16:J16" si="5">+E8+E13</f>
        <v>22798.592388448695</v>
      </c>
      <c r="F16" s="368">
        <f t="shared" si="5"/>
        <v>35832.928492546285</v>
      </c>
      <c r="G16" s="368">
        <f t="shared" si="5"/>
        <v>52200.076709370158</v>
      </c>
      <c r="H16" s="368">
        <f t="shared" si="5"/>
        <v>70448.163515895954</v>
      </c>
      <c r="I16" s="368">
        <f t="shared" si="5"/>
        <v>88668.648924184468</v>
      </c>
      <c r="J16" s="368">
        <f t="shared" si="5"/>
        <v>105894.31431995785</v>
      </c>
      <c r="K16" s="368">
        <f t="shared" si="4"/>
        <v>117025.47202808101</v>
      </c>
      <c r="L16" s="368">
        <f t="shared" si="4"/>
        <v>123568.34800015617</v>
      </c>
      <c r="M16" s="368">
        <f t="shared" si="4"/>
        <v>129516.60395613647</v>
      </c>
      <c r="N16" s="63"/>
    </row>
    <row r="17" spans="1:14" ht="14.25" thickTop="1">
      <c r="A17" s="57"/>
      <c r="B17" s="57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63"/>
    </row>
    <row r="18" spans="1:14" ht="14.25" thickBot="1">
      <c r="A18" s="490" t="s">
        <v>111</v>
      </c>
      <c r="B18" s="74">
        <f>+Pressupostos!B20</f>
        <v>0.23</v>
      </c>
      <c r="C18" s="80">
        <f t="shared" ref="C18:M18" si="6">+C8*$B$18</f>
        <v>1585.0402324390295</v>
      </c>
      <c r="D18" s="80">
        <f t="shared" si="6"/>
        <v>2870.243672574155</v>
      </c>
      <c r="E18" s="80">
        <f t="shared" ref="E18:J18" si="7">+E8*$B$18</f>
        <v>5243.6762493431997</v>
      </c>
      <c r="F18" s="80">
        <f t="shared" si="7"/>
        <v>8241.5735532856452</v>
      </c>
      <c r="G18" s="80">
        <f t="shared" si="7"/>
        <v>12006.017643155137</v>
      </c>
      <c r="H18" s="80">
        <f t="shared" si="7"/>
        <v>16203.077608656071</v>
      </c>
      <c r="I18" s="80">
        <f t="shared" si="7"/>
        <v>20393.78925256243</v>
      </c>
      <c r="J18" s="80">
        <f t="shared" si="7"/>
        <v>24355.692293590306</v>
      </c>
      <c r="K18" s="80">
        <f t="shared" si="6"/>
        <v>26915.858566458635</v>
      </c>
      <c r="L18" s="80">
        <f t="shared" si="6"/>
        <v>28420.720040035922</v>
      </c>
      <c r="M18" s="80">
        <f t="shared" si="6"/>
        <v>29788.818909911392</v>
      </c>
      <c r="N18" s="63"/>
    </row>
    <row r="19" spans="1:14" ht="14.25" thickTop="1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63"/>
    </row>
    <row r="20" spans="1:14" ht="14.25" thickBot="1">
      <c r="A20" s="538" t="s">
        <v>122</v>
      </c>
      <c r="B20" s="538"/>
      <c r="C20" s="36">
        <f t="shared" ref="C20:M20" si="8">+C16+C18</f>
        <v>8476.5195039130704</v>
      </c>
      <c r="D20" s="36">
        <f t="shared" si="8"/>
        <v>15349.56398811396</v>
      </c>
      <c r="E20" s="36">
        <f t="shared" ref="E20:J20" si="9">+E16+E18</f>
        <v>28042.268637791894</v>
      </c>
      <c r="F20" s="36">
        <f t="shared" si="9"/>
        <v>44074.502045831934</v>
      </c>
      <c r="G20" s="36">
        <f t="shared" si="9"/>
        <v>64206.094352525295</v>
      </c>
      <c r="H20" s="36">
        <f t="shared" si="9"/>
        <v>86651.24112455202</v>
      </c>
      <c r="I20" s="36">
        <f t="shared" si="9"/>
        <v>109062.4381767469</v>
      </c>
      <c r="J20" s="36">
        <f t="shared" si="9"/>
        <v>130250.00661354815</v>
      </c>
      <c r="K20" s="36">
        <f t="shared" si="8"/>
        <v>143941.33059453964</v>
      </c>
      <c r="L20" s="36">
        <f t="shared" si="8"/>
        <v>151989.0680401921</v>
      </c>
      <c r="M20" s="36">
        <f t="shared" si="8"/>
        <v>159305.42286604785</v>
      </c>
      <c r="N20" s="63"/>
    </row>
    <row r="21" spans="1:14" ht="14.25" thickTop="1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63"/>
    </row>
    <row r="22" spans="1:14" ht="13.5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63"/>
    </row>
    <row r="23" spans="1:14" ht="13.5">
      <c r="A23" s="81" t="s">
        <v>123</v>
      </c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63"/>
    </row>
    <row r="24" spans="1:14" ht="13.5">
      <c r="A24" s="82" t="s">
        <v>124</v>
      </c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63"/>
    </row>
    <row r="25" spans="1:14" ht="13.5">
      <c r="A25" s="82" t="s">
        <v>125</v>
      </c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63"/>
    </row>
    <row r="26" spans="1:14" ht="13.5">
      <c r="A26" s="82" t="s">
        <v>126</v>
      </c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63"/>
    </row>
    <row r="27" spans="1:14" ht="13.5">
      <c r="A27" s="82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63"/>
    </row>
    <row r="28" spans="1:14" ht="13.5">
      <c r="A28" s="81" t="s">
        <v>127</v>
      </c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63"/>
    </row>
    <row r="29" spans="1:14" ht="13.5">
      <c r="A29" s="8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63"/>
    </row>
    <row r="30" spans="1:14" ht="13.5">
      <c r="A30" s="84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</row>
    <row r="31" spans="1:14" ht="13.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</row>
    <row r="32" spans="1:14" ht="13.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</row>
    <row r="33" spans="1:13" ht="13.5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</row>
    <row r="34" spans="1:13" ht="13.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</row>
    <row r="35" spans="1:13" ht="13.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</row>
    <row r="36" spans="1:13" ht="13.5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</row>
    <row r="37" spans="1:13" ht="13.5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</row>
    <row r="38" spans="1:13" ht="13.5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</row>
    <row r="39" spans="1:13" ht="13.5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</row>
    <row r="40" spans="1:13" ht="13.5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</row>
    <row r="41" spans="1:13" ht="13.5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</row>
    <row r="42" spans="1:13" ht="13.5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</row>
    <row r="43" spans="1:13" ht="13.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</row>
    <row r="44" spans="1:13" ht="13.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</row>
    <row r="45" spans="1:13" ht="13.5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</row>
    <row r="46" spans="1:13" ht="13.5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</row>
    <row r="47" spans="1:13" ht="13.5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</row>
    <row r="48" spans="1:13" ht="13.5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</row>
    <row r="49" spans="1:13" ht="13.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</row>
    <row r="50" spans="1:13" ht="13.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</row>
    <row r="51" spans="1:13" ht="13.5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</row>
    <row r="52" spans="1:13" ht="13.5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</row>
    <row r="53" spans="1:13" ht="13.5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</row>
    <row r="54" spans="1:13" ht="13.5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</row>
    <row r="55" spans="1:13" ht="13.5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</row>
    <row r="56" spans="1:13" ht="13.5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</row>
    <row r="57" spans="1:13" ht="13.5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</row>
    <row r="58" spans="1:13" ht="13.5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</row>
    <row r="59" spans="1:13" ht="13.5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</row>
    <row r="60" spans="1:13" ht="13.5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</row>
    <row r="61" spans="1:13" ht="13.5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</row>
    <row r="62" spans="1:13" ht="13.5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</row>
    <row r="63" spans="1:13" ht="13.5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</row>
    <row r="64" spans="1:13" ht="13.5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</row>
    <row r="65" spans="1:13" ht="13.5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</row>
    <row r="66" spans="1:13" ht="13.5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</row>
    <row r="67" spans="1:13" ht="13.5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</row>
    <row r="68" spans="1:13" ht="13.5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</row>
    <row r="69" spans="1:13" ht="13.5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</row>
    <row r="70" spans="1:13" ht="13.5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</row>
    <row r="71" spans="1:13" ht="13.5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</row>
    <row r="72" spans="1:13" ht="13.5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</row>
    <row r="73" spans="1:13" ht="13.5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</row>
    <row r="74" spans="1:13" ht="13.5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</row>
    <row r="75" spans="1:13" ht="13.5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</row>
    <row r="76" spans="1:13" ht="13.5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</row>
    <row r="77" spans="1:13" ht="13.5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</row>
    <row r="78" spans="1:13" ht="13.5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</row>
    <row r="79" spans="1:13" ht="13.5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</row>
    <row r="80" spans="1:13" ht="13.5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</row>
    <row r="81" spans="1:13" ht="13.5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</row>
    <row r="82" spans="1:13" ht="13.5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</row>
    <row r="83" spans="1:13" ht="13.5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</row>
    <row r="84" spans="1:13" ht="13.5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</row>
    <row r="85" spans="1:13" ht="13.5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</row>
    <row r="86" spans="1:13" ht="13.5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</row>
    <row r="87" spans="1:13" ht="13.5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</row>
    <row r="88" spans="1:13" ht="13.5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</row>
    <row r="89" spans="1:13" ht="13.5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</row>
    <row r="90" spans="1:13" ht="13.5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</row>
    <row r="91" spans="1:13" ht="13.5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</row>
    <row r="92" spans="1:13" ht="13.5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</row>
    <row r="93" spans="1:13" ht="13.5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</row>
    <row r="94" spans="1:13" ht="13.5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</row>
    <row r="95" spans="1:13" ht="13.5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</row>
    <row r="96" spans="1:13" ht="13.5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</row>
    <row r="97" spans="1:13" ht="13.5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</row>
    <row r="98" spans="1:13" ht="13.5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</row>
    <row r="99" spans="1:13" ht="13.5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</row>
    <row r="100" spans="1:13" ht="13.5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</row>
    <row r="101" spans="1:13" ht="13.5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</row>
    <row r="102" spans="1:13" ht="13.5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</row>
    <row r="103" spans="1:13" ht="13.5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</row>
    <row r="104" spans="1:13" ht="13.5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</row>
    <row r="105" spans="1:13" ht="13.5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</row>
    <row r="106" spans="1:13" ht="13.5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</row>
    <row r="107" spans="1:13" ht="13.5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</row>
    <row r="108" spans="1:13" ht="13.5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</row>
    <row r="109" spans="1:13" ht="13.5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</row>
    <row r="110" spans="1:13" ht="13.5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</row>
    <row r="111" spans="1:13" ht="13.5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</row>
    <row r="112" spans="1:13" ht="13.5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</row>
    <row r="113" spans="1:13" ht="13.5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</row>
    <row r="114" spans="1:13" ht="13.5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</row>
    <row r="115" spans="1:13" ht="13.5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</row>
    <row r="116" spans="1:13" ht="13.5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</row>
    <row r="117" spans="1:13" ht="13.5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</row>
    <row r="118" spans="1:13" ht="13.5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</row>
    <row r="119" spans="1:13" ht="13.5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</row>
    <row r="120" spans="1:13" ht="13.5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</row>
    <row r="121" spans="1:13" ht="13.5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</row>
    <row r="122" spans="1:13" ht="13.5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</row>
    <row r="123" spans="1:13" ht="13.5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</row>
    <row r="124" spans="1:13" ht="13.5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</row>
    <row r="125" spans="1:13" ht="13.5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</row>
    <row r="126" spans="1:13" ht="13.5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</row>
    <row r="127" spans="1:13" ht="13.5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</row>
    <row r="128" spans="1:13" ht="13.5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</row>
    <row r="129" spans="1:13" ht="13.5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</row>
    <row r="130" spans="1:13" ht="13.5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</row>
    <row r="131" spans="1:13" ht="13.5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</row>
    <row r="132" spans="1:13" ht="13.5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</row>
    <row r="133" spans="1:13" ht="13.5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</row>
    <row r="134" spans="1:13" ht="13.5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</row>
    <row r="135" spans="1:13" ht="13.5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</row>
    <row r="136" spans="1:13" ht="13.5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</row>
    <row r="137" spans="1:13" ht="13.5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</row>
    <row r="138" spans="1:13" ht="13.5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</row>
    <row r="139" spans="1:13" ht="13.5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</row>
    <row r="140" spans="1:13" ht="13.5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</row>
  </sheetData>
  <sheetProtection password="8318" sheet="1"/>
  <mergeCells count="3">
    <mergeCell ref="A4:M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N105"/>
  <sheetViews>
    <sheetView showGridLines="0" showZeros="0" zoomScaleNormal="100" workbookViewId="0">
      <selection activeCell="I27" sqref="I27"/>
    </sheetView>
  </sheetViews>
  <sheetFormatPr defaultColWidth="8.85546875" defaultRowHeight="11.1"/>
  <cols>
    <col min="1" max="1" width="23.140625" style="63" customWidth="1"/>
    <col min="2" max="2" width="5.140625" style="63" customWidth="1"/>
    <col min="3" max="3" width="6.140625" style="63" customWidth="1"/>
    <col min="4" max="14" width="8.140625" style="63" customWidth="1"/>
    <col min="15" max="18" width="11.42578125" style="63" customWidth="1"/>
    <col min="19" max="42" width="11.85546875" style="63" customWidth="1"/>
    <col min="43" max="16384" width="8.85546875" style="63"/>
  </cols>
  <sheetData>
    <row r="1" spans="1:14" ht="12.75">
      <c r="A1" s="54"/>
      <c r="B1" s="54"/>
      <c r="C1" s="47"/>
      <c r="D1" s="47"/>
      <c r="E1" s="47"/>
      <c r="F1" s="47"/>
      <c r="G1" s="47"/>
      <c r="H1" s="47"/>
      <c r="I1" s="47"/>
      <c r="J1" s="47"/>
      <c r="K1" s="47"/>
      <c r="L1" s="47"/>
      <c r="M1" s="86" t="str">
        <f>+VN!L1</f>
        <v>Empresa:</v>
      </c>
      <c r="N1" s="49" t="str">
        <f>+Pressupostos!E1</f>
        <v>DUQUESA</v>
      </c>
    </row>
    <row r="2" spans="1:14" ht="11.25">
      <c r="A2" s="95"/>
      <c r="B2" s="95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52" t="str">
        <f>+Pressupostos!B9</f>
        <v>Euros</v>
      </c>
    </row>
    <row r="3" spans="1:14" ht="11.25">
      <c r="A3" s="95"/>
      <c r="B3" s="95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52"/>
    </row>
    <row r="4" spans="1:14" ht="15.75">
      <c r="A4" s="526" t="s">
        <v>128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526"/>
    </row>
    <row r="5" spans="1:14" ht="11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</row>
    <row r="6" spans="1:14" ht="11.25">
      <c r="A6" s="494"/>
      <c r="B6" s="495"/>
      <c r="C6" s="495"/>
      <c r="D6" s="493">
        <f>+VN!C8</f>
        <v>2020</v>
      </c>
      <c r="E6" s="493">
        <f>+VN!D8</f>
        <v>2021</v>
      </c>
      <c r="F6" s="493">
        <f>+VN!E8</f>
        <v>2022</v>
      </c>
      <c r="G6" s="493">
        <f>+VN!F8</f>
        <v>2023</v>
      </c>
      <c r="H6" s="493">
        <f>+VN!G8</f>
        <v>2024</v>
      </c>
      <c r="I6" s="493">
        <f>+VN!H8</f>
        <v>2025</v>
      </c>
      <c r="J6" s="493">
        <f>+VN!I8</f>
        <v>2026</v>
      </c>
      <c r="K6" s="493">
        <f>+VN!J8</f>
        <v>2027</v>
      </c>
      <c r="L6" s="493">
        <f>+VN!K8</f>
        <v>2028</v>
      </c>
      <c r="M6" s="493">
        <f>+VN!L8</f>
        <v>2029</v>
      </c>
      <c r="N6" s="493">
        <f>+VN!M8</f>
        <v>2030</v>
      </c>
    </row>
    <row r="7" spans="1:14" ht="11.25">
      <c r="A7" s="88" t="s">
        <v>129</v>
      </c>
      <c r="B7" s="89"/>
      <c r="C7" s="90"/>
      <c r="D7" s="34">
        <v>11</v>
      </c>
      <c r="E7" s="34">
        <v>11</v>
      </c>
      <c r="F7" s="34">
        <v>11</v>
      </c>
      <c r="G7" s="34">
        <v>11</v>
      </c>
      <c r="H7" s="135">
        <f>+G7</f>
        <v>11</v>
      </c>
      <c r="I7" s="135">
        <f t="shared" ref="I7:N7" si="0">+H7</f>
        <v>11</v>
      </c>
      <c r="J7" s="135">
        <f t="shared" si="0"/>
        <v>11</v>
      </c>
      <c r="K7" s="135">
        <f t="shared" si="0"/>
        <v>11</v>
      </c>
      <c r="L7" s="135">
        <f t="shared" si="0"/>
        <v>11</v>
      </c>
      <c r="M7" s="135">
        <f t="shared" si="0"/>
        <v>11</v>
      </c>
      <c r="N7" s="135">
        <f t="shared" si="0"/>
        <v>11</v>
      </c>
    </row>
    <row r="8" spans="1:14" ht="11.25">
      <c r="A8" s="88" t="s">
        <v>130</v>
      </c>
      <c r="B8" s="89"/>
      <c r="C8" s="90"/>
      <c r="D8" s="92">
        <v>0</v>
      </c>
      <c r="E8" s="30">
        <v>0.02</v>
      </c>
      <c r="F8" s="30">
        <v>0.02</v>
      </c>
      <c r="G8" s="30">
        <v>0.02</v>
      </c>
      <c r="H8" s="30">
        <v>0.02</v>
      </c>
      <c r="I8" s="30">
        <v>0.02</v>
      </c>
      <c r="J8" s="30">
        <v>0.02</v>
      </c>
      <c r="K8" s="30">
        <v>0.02</v>
      </c>
      <c r="L8" s="30">
        <v>0.02</v>
      </c>
      <c r="M8" s="30">
        <v>0.02</v>
      </c>
      <c r="N8" s="30">
        <v>0.02</v>
      </c>
    </row>
    <row r="9" spans="1:14" ht="11.25">
      <c r="A9" s="96"/>
      <c r="B9" s="96"/>
      <c r="C9" s="97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</row>
    <row r="10" spans="1:14" ht="11.25">
      <c r="A10" s="96"/>
      <c r="B10" s="96"/>
      <c r="C10" s="97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</row>
    <row r="11" spans="1:14" ht="11.25">
      <c r="A11" s="545" t="s">
        <v>131</v>
      </c>
      <c r="B11" s="546"/>
      <c r="C11" s="547"/>
      <c r="D11" s="493">
        <f t="shared" ref="D11:N11" si="1">+D6</f>
        <v>2020</v>
      </c>
      <c r="E11" s="493">
        <f t="shared" si="1"/>
        <v>2021</v>
      </c>
      <c r="F11" s="493">
        <f t="shared" ref="F11:K11" si="2">+F6</f>
        <v>2022</v>
      </c>
      <c r="G11" s="493">
        <f t="shared" si="2"/>
        <v>2023</v>
      </c>
      <c r="H11" s="493">
        <f t="shared" si="2"/>
        <v>2024</v>
      </c>
      <c r="I11" s="493">
        <f t="shared" si="2"/>
        <v>2025</v>
      </c>
      <c r="J11" s="493">
        <f t="shared" si="2"/>
        <v>2026</v>
      </c>
      <c r="K11" s="493">
        <f t="shared" si="2"/>
        <v>2027</v>
      </c>
      <c r="L11" s="493">
        <f t="shared" si="1"/>
        <v>2028</v>
      </c>
      <c r="M11" s="493">
        <f t="shared" si="1"/>
        <v>2029</v>
      </c>
      <c r="N11" s="493">
        <f t="shared" si="1"/>
        <v>2030</v>
      </c>
    </row>
    <row r="12" spans="1:14" ht="11.25">
      <c r="A12" s="98" t="s">
        <v>132</v>
      </c>
      <c r="B12" s="89"/>
      <c r="C12" s="90"/>
      <c r="D12" s="39">
        <v>1</v>
      </c>
      <c r="E12" s="39">
        <v>1</v>
      </c>
      <c r="F12" s="39">
        <v>1</v>
      </c>
      <c r="G12" s="39">
        <v>1</v>
      </c>
      <c r="H12" s="39">
        <v>1</v>
      </c>
      <c r="I12" s="39">
        <v>1</v>
      </c>
      <c r="J12" s="39">
        <v>1</v>
      </c>
      <c r="K12" s="39">
        <v>1</v>
      </c>
      <c r="L12" s="39">
        <v>1</v>
      </c>
      <c r="M12" s="39">
        <v>1</v>
      </c>
      <c r="N12" s="39">
        <v>1</v>
      </c>
    </row>
    <row r="13" spans="1:14" ht="11.25">
      <c r="A13" s="42" t="s">
        <v>133</v>
      </c>
      <c r="B13" s="99"/>
      <c r="C13" s="100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ht="11.25">
      <c r="A14" s="42" t="s">
        <v>134</v>
      </c>
      <c r="B14" s="99"/>
      <c r="C14" s="100"/>
      <c r="D14" s="39">
        <v>0</v>
      </c>
      <c r="E14" s="39">
        <v>0</v>
      </c>
      <c r="F14" s="39"/>
      <c r="G14" s="39"/>
      <c r="H14" s="39">
        <v>1</v>
      </c>
      <c r="I14" s="39">
        <v>1</v>
      </c>
      <c r="J14" s="39">
        <v>1</v>
      </c>
      <c r="K14" s="39">
        <v>1</v>
      </c>
      <c r="L14" s="39">
        <v>1</v>
      </c>
      <c r="M14" s="39">
        <v>1</v>
      </c>
      <c r="N14" s="39">
        <v>1</v>
      </c>
    </row>
    <row r="15" spans="1:14" ht="11.25">
      <c r="A15" s="42" t="s">
        <v>135</v>
      </c>
      <c r="B15" s="99"/>
      <c r="C15" s="100"/>
      <c r="D15" s="39">
        <v>2</v>
      </c>
      <c r="E15" s="39">
        <v>2</v>
      </c>
      <c r="F15" s="39">
        <v>2</v>
      </c>
      <c r="G15" s="39">
        <v>3</v>
      </c>
      <c r="H15" s="39">
        <v>3</v>
      </c>
      <c r="I15" s="39">
        <v>3</v>
      </c>
      <c r="J15" s="39">
        <v>4</v>
      </c>
      <c r="K15" s="39">
        <v>4</v>
      </c>
      <c r="L15" s="39">
        <v>5</v>
      </c>
      <c r="M15" s="39">
        <v>5</v>
      </c>
      <c r="N15" s="39">
        <v>5</v>
      </c>
    </row>
    <row r="16" spans="1:14" ht="11.25">
      <c r="A16" s="42" t="s">
        <v>136</v>
      </c>
      <c r="B16" s="99"/>
      <c r="C16" s="100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4" ht="11.25">
      <c r="A17" s="42" t="s">
        <v>137</v>
      </c>
      <c r="B17" s="99"/>
      <c r="C17" s="100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1:14" ht="11.25">
      <c r="A18" s="42" t="s">
        <v>138</v>
      </c>
      <c r="B18" s="99"/>
      <c r="C18" s="100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1:14" ht="11.25">
      <c r="A19" s="42" t="s">
        <v>139</v>
      </c>
      <c r="B19" s="99"/>
      <c r="C19" s="100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4" ht="11.25">
      <c r="A20" s="42" t="s">
        <v>140</v>
      </c>
      <c r="B20" s="99"/>
      <c r="C20" s="100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1:14" ht="11.25">
      <c r="A21" s="43"/>
      <c r="B21" s="101"/>
      <c r="C21" s="102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</row>
    <row r="22" spans="1:14" ht="11.25">
      <c r="A22" s="43"/>
      <c r="B22" s="101"/>
      <c r="C22" s="102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</row>
    <row r="23" spans="1:14" ht="12" thickBot="1">
      <c r="A23" s="548" t="s">
        <v>141</v>
      </c>
      <c r="B23" s="549"/>
      <c r="C23" s="550"/>
      <c r="D23" s="103">
        <f t="shared" ref="D23:N23" si="3">+SUM(D12:D22)</f>
        <v>3</v>
      </c>
      <c r="E23" s="103">
        <f t="shared" si="3"/>
        <v>3</v>
      </c>
      <c r="F23" s="103">
        <f t="shared" ref="F23:K23" si="4">+SUM(F12:F22)</f>
        <v>3</v>
      </c>
      <c r="G23" s="103">
        <f t="shared" si="4"/>
        <v>4</v>
      </c>
      <c r="H23" s="103">
        <f t="shared" si="4"/>
        <v>5</v>
      </c>
      <c r="I23" s="103">
        <f t="shared" si="4"/>
        <v>5</v>
      </c>
      <c r="J23" s="103">
        <f t="shared" si="4"/>
        <v>6</v>
      </c>
      <c r="K23" s="103">
        <f t="shared" si="4"/>
        <v>6</v>
      </c>
      <c r="L23" s="103">
        <f t="shared" si="3"/>
        <v>7</v>
      </c>
      <c r="M23" s="103">
        <f t="shared" si="3"/>
        <v>7</v>
      </c>
      <c r="N23" s="103">
        <f t="shared" si="3"/>
        <v>7</v>
      </c>
    </row>
    <row r="24" spans="1:14" ht="12" thickTop="1">
      <c r="A24" s="96"/>
      <c r="B24" s="96"/>
      <c r="C24" s="97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</row>
    <row r="25" spans="1:14" ht="11.25">
      <c r="A25" s="96"/>
      <c r="B25" s="96"/>
      <c r="C25" s="97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</row>
    <row r="26" spans="1:14" ht="11.25">
      <c r="A26" s="545" t="s">
        <v>142</v>
      </c>
      <c r="B26" s="546"/>
      <c r="C26" s="547"/>
      <c r="D26" s="493">
        <f t="shared" ref="D26:N26" si="5">+D21</f>
        <v>0</v>
      </c>
      <c r="E26" s="493">
        <f t="shared" si="5"/>
        <v>0</v>
      </c>
      <c r="F26" s="493">
        <f t="shared" ref="F26:K26" si="6">+F21</f>
        <v>0</v>
      </c>
      <c r="G26" s="493">
        <f t="shared" si="6"/>
        <v>0</v>
      </c>
      <c r="H26" s="493">
        <f t="shared" si="6"/>
        <v>0</v>
      </c>
      <c r="I26" s="493">
        <f t="shared" si="6"/>
        <v>0</v>
      </c>
      <c r="J26" s="493">
        <f t="shared" si="6"/>
        <v>0</v>
      </c>
      <c r="K26" s="493">
        <f t="shared" si="6"/>
        <v>0</v>
      </c>
      <c r="L26" s="493">
        <f t="shared" si="5"/>
        <v>0</v>
      </c>
      <c r="M26" s="493">
        <f t="shared" si="5"/>
        <v>0</v>
      </c>
      <c r="N26" s="493">
        <f t="shared" si="5"/>
        <v>0</v>
      </c>
    </row>
    <row r="27" spans="1:14" ht="11.25">
      <c r="A27" s="98" t="s">
        <v>132</v>
      </c>
      <c r="B27" s="89"/>
      <c r="C27" s="90"/>
      <c r="D27" s="370">
        <v>14</v>
      </c>
      <c r="E27" s="370">
        <v>14</v>
      </c>
      <c r="F27" s="370">
        <v>14</v>
      </c>
      <c r="G27" s="370">
        <v>14</v>
      </c>
      <c r="H27" s="370">
        <v>14</v>
      </c>
      <c r="I27" s="370">
        <v>14</v>
      </c>
      <c r="J27" s="370">
        <v>14</v>
      </c>
      <c r="K27" s="370">
        <v>14</v>
      </c>
      <c r="L27" s="370">
        <v>14</v>
      </c>
      <c r="M27" s="370">
        <v>14</v>
      </c>
      <c r="N27" s="370">
        <v>14</v>
      </c>
    </row>
    <row r="28" spans="1:14" ht="11.25">
      <c r="A28" s="42" t="s">
        <v>133</v>
      </c>
      <c r="B28" s="99"/>
      <c r="C28" s="10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</row>
    <row r="29" spans="1:14" ht="11.25">
      <c r="A29" s="42" t="s">
        <v>134</v>
      </c>
      <c r="B29" s="99"/>
      <c r="C29" s="100"/>
      <c r="D29" s="370">
        <v>14</v>
      </c>
      <c r="E29" s="370">
        <v>14</v>
      </c>
      <c r="F29" s="370">
        <v>14</v>
      </c>
      <c r="G29" s="370">
        <v>14</v>
      </c>
      <c r="H29" s="370">
        <v>14</v>
      </c>
      <c r="I29" s="370">
        <v>14</v>
      </c>
      <c r="J29" s="370">
        <v>14</v>
      </c>
      <c r="K29" s="370">
        <v>14</v>
      </c>
      <c r="L29" s="370">
        <v>14</v>
      </c>
      <c r="M29" s="370">
        <v>14</v>
      </c>
      <c r="N29" s="370">
        <v>14</v>
      </c>
    </row>
    <row r="30" spans="1:14" ht="11.25">
      <c r="A30" s="42" t="s">
        <v>135</v>
      </c>
      <c r="B30" s="99"/>
      <c r="C30" s="100"/>
      <c r="D30" s="370">
        <v>14</v>
      </c>
      <c r="E30" s="370">
        <v>14</v>
      </c>
      <c r="F30" s="370">
        <v>14</v>
      </c>
      <c r="G30" s="370">
        <v>14</v>
      </c>
      <c r="H30" s="370">
        <v>14</v>
      </c>
      <c r="I30" s="370">
        <v>14</v>
      </c>
      <c r="J30" s="370">
        <v>14</v>
      </c>
      <c r="K30" s="370">
        <v>14</v>
      </c>
      <c r="L30" s="370">
        <v>14</v>
      </c>
      <c r="M30" s="370">
        <v>14</v>
      </c>
      <c r="N30" s="370">
        <v>14</v>
      </c>
    </row>
    <row r="31" spans="1:14" ht="11.25">
      <c r="A31" s="42" t="s">
        <v>136</v>
      </c>
      <c r="B31" s="99"/>
      <c r="C31" s="10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</row>
    <row r="32" spans="1:14" ht="11.25">
      <c r="A32" s="42" t="s">
        <v>137</v>
      </c>
      <c r="B32" s="99"/>
      <c r="C32" s="10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</row>
    <row r="33" spans="1:14" ht="11.25">
      <c r="A33" s="42" t="s">
        <v>138</v>
      </c>
      <c r="B33" s="99"/>
      <c r="C33" s="100"/>
      <c r="D33" s="370"/>
      <c r="E33" s="370"/>
      <c r="F33" s="370"/>
      <c r="G33" s="370"/>
      <c r="H33" s="370"/>
      <c r="I33" s="370"/>
      <c r="J33" s="370"/>
      <c r="K33" s="370"/>
      <c r="L33" s="370"/>
      <c r="M33" s="370"/>
      <c r="N33" s="370"/>
    </row>
    <row r="34" spans="1:14" ht="11.25">
      <c r="A34" s="42" t="s">
        <v>139</v>
      </c>
      <c r="B34" s="99"/>
      <c r="C34" s="10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</row>
    <row r="35" spans="1:14" ht="11.25">
      <c r="A35" s="42" t="s">
        <v>140</v>
      </c>
      <c r="B35" s="99"/>
      <c r="C35" s="100"/>
      <c r="D35" s="370"/>
      <c r="E35" s="370"/>
      <c r="F35" s="370"/>
      <c r="G35" s="370"/>
      <c r="H35" s="370"/>
      <c r="I35" s="370"/>
      <c r="J35" s="370"/>
      <c r="K35" s="370"/>
      <c r="L35" s="370"/>
      <c r="M35" s="370"/>
      <c r="N35" s="370"/>
    </row>
    <row r="36" spans="1:14" ht="11.25">
      <c r="A36" s="43"/>
      <c r="B36" s="101"/>
      <c r="C36" s="102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</row>
    <row r="37" spans="1:14" ht="11.25">
      <c r="A37" s="43"/>
      <c r="B37" s="101"/>
      <c r="C37" s="102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</row>
    <row r="38" spans="1:14" ht="11.25">
      <c r="A38" s="96"/>
      <c r="B38" s="96"/>
      <c r="C38" s="97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</row>
    <row r="39" spans="1:14" ht="11.25">
      <c r="A39" s="96"/>
      <c r="B39" s="96"/>
      <c r="C39" s="97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</row>
    <row r="40" spans="1:14" ht="11.25">
      <c r="A40" s="545" t="s">
        <v>143</v>
      </c>
      <c r="B40" s="546"/>
      <c r="C40" s="547"/>
      <c r="D40" s="493">
        <f t="shared" ref="D40:N40" si="7">+D11</f>
        <v>2020</v>
      </c>
      <c r="E40" s="493">
        <f t="shared" si="7"/>
        <v>2021</v>
      </c>
      <c r="F40" s="493">
        <f t="shared" ref="F40:K40" si="8">+F11</f>
        <v>2022</v>
      </c>
      <c r="G40" s="493">
        <f t="shared" si="8"/>
        <v>2023</v>
      </c>
      <c r="H40" s="493">
        <f t="shared" si="8"/>
        <v>2024</v>
      </c>
      <c r="I40" s="493">
        <f t="shared" si="8"/>
        <v>2025</v>
      </c>
      <c r="J40" s="493">
        <f t="shared" si="8"/>
        <v>2026</v>
      </c>
      <c r="K40" s="493">
        <f t="shared" si="8"/>
        <v>2027</v>
      </c>
      <c r="L40" s="493">
        <f t="shared" si="7"/>
        <v>2028</v>
      </c>
      <c r="M40" s="493">
        <f t="shared" si="7"/>
        <v>2029</v>
      </c>
      <c r="N40" s="493">
        <f t="shared" si="7"/>
        <v>2030</v>
      </c>
    </row>
    <row r="41" spans="1:14" ht="11.25">
      <c r="A41" s="98" t="str">
        <f t="shared" ref="A41:A51" si="9">+A12</f>
        <v>Administração / Direcção</v>
      </c>
      <c r="B41" s="89"/>
      <c r="C41" s="90"/>
      <c r="D41" s="40">
        <v>600</v>
      </c>
      <c r="E41" s="399">
        <f>+ROUND(D41*(1+E8),2)</f>
        <v>612</v>
      </c>
      <c r="F41" s="399">
        <v>624</v>
      </c>
      <c r="G41" s="399">
        <v>1000</v>
      </c>
      <c r="H41" s="399">
        <f t="shared" ref="H41:K41" si="10">+ROUND(G41*(1+H8),2)</f>
        <v>1020</v>
      </c>
      <c r="I41" s="399">
        <v>1500</v>
      </c>
      <c r="J41" s="399">
        <v>2000</v>
      </c>
      <c r="K41" s="399">
        <f t="shared" si="10"/>
        <v>2040</v>
      </c>
      <c r="L41" s="399">
        <f>+ROUND(K41*(1+L8),2)</f>
        <v>2080.8000000000002</v>
      </c>
      <c r="M41" s="399">
        <f>+ROUND(L41*(1+M8),2)</f>
        <v>2122.42</v>
      </c>
      <c r="N41" s="399">
        <f>+ROUND(M41*(1+N8),2)</f>
        <v>2164.87</v>
      </c>
    </row>
    <row r="42" spans="1:14" ht="11.25">
      <c r="A42" s="98" t="str">
        <f t="shared" si="9"/>
        <v>Administrativa Financeira</v>
      </c>
      <c r="B42" s="89"/>
      <c r="C42" s="90"/>
      <c r="D42" s="40">
        <v>0</v>
      </c>
      <c r="E42" s="399">
        <v>0</v>
      </c>
      <c r="F42" s="399">
        <f t="shared" ref="F42:K42" si="11">+ROUND(E42*(1+F8),2)</f>
        <v>0</v>
      </c>
      <c r="G42" s="399">
        <f t="shared" si="11"/>
        <v>0</v>
      </c>
      <c r="H42" s="399">
        <f t="shared" si="11"/>
        <v>0</v>
      </c>
      <c r="I42" s="399">
        <f t="shared" si="11"/>
        <v>0</v>
      </c>
      <c r="J42" s="399">
        <f t="shared" si="11"/>
        <v>0</v>
      </c>
      <c r="K42" s="399">
        <f t="shared" si="11"/>
        <v>0</v>
      </c>
      <c r="L42" s="399">
        <f>+ROUND(K42*(1+L8),2)</f>
        <v>0</v>
      </c>
      <c r="M42" s="399">
        <f>+ROUND(L42*(1+M8),2)</f>
        <v>0</v>
      </c>
      <c r="N42" s="399">
        <f>+ROUND(M42*(1+N8),2)</f>
        <v>0</v>
      </c>
    </row>
    <row r="43" spans="1:14" ht="11.25">
      <c r="A43" s="98" t="str">
        <f t="shared" si="9"/>
        <v>Comercial / Marketing</v>
      </c>
      <c r="B43" s="89"/>
      <c r="C43" s="90"/>
      <c r="D43" s="40">
        <v>0</v>
      </c>
      <c r="E43" s="399">
        <v>0</v>
      </c>
      <c r="F43" s="399">
        <f t="shared" ref="F43:K43" si="12">+ROUND(E43*(1+F8),2)</f>
        <v>0</v>
      </c>
      <c r="G43" s="399">
        <f t="shared" si="12"/>
        <v>0</v>
      </c>
      <c r="H43" s="399">
        <f t="shared" si="12"/>
        <v>0</v>
      </c>
      <c r="I43" s="399">
        <f t="shared" si="12"/>
        <v>0</v>
      </c>
      <c r="J43" s="399">
        <f t="shared" si="12"/>
        <v>0</v>
      </c>
      <c r="K43" s="399">
        <f t="shared" si="12"/>
        <v>0</v>
      </c>
      <c r="L43" s="399">
        <f>+ROUND(K43*(1+L8),2)</f>
        <v>0</v>
      </c>
      <c r="M43" s="399">
        <f>+ROUND(L43*(1+M8),2)</f>
        <v>0</v>
      </c>
      <c r="N43" s="399">
        <f>+ROUND(M43*(1+N8),2)</f>
        <v>0</v>
      </c>
    </row>
    <row r="44" spans="1:14" ht="11.25">
      <c r="A44" s="98" t="str">
        <f t="shared" si="9"/>
        <v>Produção / Operacional</v>
      </c>
      <c r="B44" s="89"/>
      <c r="C44" s="90"/>
      <c r="D44" s="40">
        <v>600</v>
      </c>
      <c r="E44" s="399">
        <f>+ROUND(D44*(1+E8),2)</f>
        <v>612</v>
      </c>
      <c r="F44" s="399">
        <f t="shared" ref="F44:K44" si="13">+ROUND(E44*(1+F8),2)</f>
        <v>624.24</v>
      </c>
      <c r="G44" s="399">
        <v>800</v>
      </c>
      <c r="H44" s="399">
        <f t="shared" si="13"/>
        <v>816</v>
      </c>
      <c r="I44" s="399">
        <f t="shared" si="13"/>
        <v>832.32</v>
      </c>
      <c r="J44" s="399">
        <v>1000</v>
      </c>
      <c r="K44" s="399">
        <f t="shared" si="13"/>
        <v>1020</v>
      </c>
      <c r="L44" s="399">
        <f>+ROUND(K44*(1+L8),2)</f>
        <v>1040.4000000000001</v>
      </c>
      <c r="M44" s="399">
        <f>+ROUND(L44*(1+M8),2)</f>
        <v>1061.21</v>
      </c>
      <c r="N44" s="399">
        <f>+ROUND(M44*(1+N8),2)</f>
        <v>1082.43</v>
      </c>
    </row>
    <row r="45" spans="1:14" ht="11.25">
      <c r="A45" s="98" t="str">
        <f t="shared" si="9"/>
        <v>Qualidade</v>
      </c>
      <c r="B45" s="89"/>
      <c r="C45" s="90"/>
      <c r="D45" s="40"/>
      <c r="E45" s="399">
        <f>+ROUND(D45*(1+E8),2)</f>
        <v>0</v>
      </c>
      <c r="F45" s="399">
        <f t="shared" ref="F45:K45" si="14">+ROUND(E45*(1+F8),2)</f>
        <v>0</v>
      </c>
      <c r="G45" s="399">
        <f t="shared" si="14"/>
        <v>0</v>
      </c>
      <c r="H45" s="399">
        <f t="shared" si="14"/>
        <v>0</v>
      </c>
      <c r="I45" s="399">
        <f t="shared" si="14"/>
        <v>0</v>
      </c>
      <c r="J45" s="399">
        <f t="shared" si="14"/>
        <v>0</v>
      </c>
      <c r="K45" s="399">
        <f t="shared" si="14"/>
        <v>0</v>
      </c>
      <c r="L45" s="399">
        <f>+ROUND(K45*(1+L8),2)</f>
        <v>0</v>
      </c>
      <c r="M45" s="399">
        <f>+ROUND(L45*(1+M8),2)</f>
        <v>0</v>
      </c>
      <c r="N45" s="399">
        <f>+ROUND(M45*(1+N8),2)</f>
        <v>0</v>
      </c>
    </row>
    <row r="46" spans="1:14" ht="11.25">
      <c r="A46" s="98" t="str">
        <f t="shared" si="9"/>
        <v>Manutenção</v>
      </c>
      <c r="B46" s="89"/>
      <c r="C46" s="90"/>
      <c r="D46" s="40"/>
      <c r="E46" s="399">
        <f>+ROUND(D46*(1+E8),2)</f>
        <v>0</v>
      </c>
      <c r="F46" s="399">
        <f t="shared" ref="F46:K46" si="15">+ROUND(E46*(1+F8),2)</f>
        <v>0</v>
      </c>
      <c r="G46" s="399">
        <f t="shared" si="15"/>
        <v>0</v>
      </c>
      <c r="H46" s="399">
        <f t="shared" si="15"/>
        <v>0</v>
      </c>
      <c r="I46" s="399">
        <f t="shared" si="15"/>
        <v>0</v>
      </c>
      <c r="J46" s="399">
        <f t="shared" si="15"/>
        <v>0</v>
      </c>
      <c r="K46" s="399">
        <f t="shared" si="15"/>
        <v>0</v>
      </c>
      <c r="L46" s="399">
        <f>+ROUND(K46*(1+L8),2)</f>
        <v>0</v>
      </c>
      <c r="M46" s="399">
        <f>+ROUND(L46*(1+M8),2)</f>
        <v>0</v>
      </c>
      <c r="N46" s="399">
        <f>+ROUND(M46*(1+N8),2)</f>
        <v>0</v>
      </c>
    </row>
    <row r="47" spans="1:14" ht="11.25">
      <c r="A47" s="98" t="str">
        <f t="shared" si="9"/>
        <v>Aprovisionamento</v>
      </c>
      <c r="B47" s="89"/>
      <c r="C47" s="90"/>
      <c r="D47" s="40"/>
      <c r="E47" s="399">
        <f>+ROUND(D47*(1+E8),2)</f>
        <v>0</v>
      </c>
      <c r="F47" s="399">
        <f t="shared" ref="F47:K47" si="16">+ROUND(E47*(1+F8),2)</f>
        <v>0</v>
      </c>
      <c r="G47" s="399">
        <f t="shared" si="16"/>
        <v>0</v>
      </c>
      <c r="H47" s="399">
        <f t="shared" si="16"/>
        <v>0</v>
      </c>
      <c r="I47" s="399">
        <f t="shared" si="16"/>
        <v>0</v>
      </c>
      <c r="J47" s="399">
        <f t="shared" si="16"/>
        <v>0</v>
      </c>
      <c r="K47" s="399">
        <f t="shared" si="16"/>
        <v>0</v>
      </c>
      <c r="L47" s="399">
        <f>+ROUND(K47*(1+L8),2)</f>
        <v>0</v>
      </c>
      <c r="M47" s="399">
        <f>+ROUND(L47*(1+M8),2)</f>
        <v>0</v>
      </c>
      <c r="N47" s="399">
        <f>+ROUND(M47*(1+N8),2)</f>
        <v>0</v>
      </c>
    </row>
    <row r="48" spans="1:14" ht="11.25">
      <c r="A48" s="98" t="str">
        <f t="shared" si="9"/>
        <v>Investigação &amp; Desenvolvimento</v>
      </c>
      <c r="B48" s="89"/>
      <c r="C48" s="90"/>
      <c r="D48" s="40"/>
      <c r="E48" s="399">
        <f>+ROUND(D48*(1+E8),2)</f>
        <v>0</v>
      </c>
      <c r="F48" s="399">
        <f t="shared" ref="F48:K48" si="17">+ROUND(E48*(1+F8),2)</f>
        <v>0</v>
      </c>
      <c r="G48" s="399">
        <f t="shared" si="17"/>
        <v>0</v>
      </c>
      <c r="H48" s="399">
        <f t="shared" si="17"/>
        <v>0</v>
      </c>
      <c r="I48" s="399">
        <f t="shared" si="17"/>
        <v>0</v>
      </c>
      <c r="J48" s="399">
        <f t="shared" si="17"/>
        <v>0</v>
      </c>
      <c r="K48" s="399">
        <f t="shared" si="17"/>
        <v>0</v>
      </c>
      <c r="L48" s="399">
        <f>+ROUND(K48*(1+L8),2)</f>
        <v>0</v>
      </c>
      <c r="M48" s="399">
        <f>+ROUND(L48*(1+M8),2)</f>
        <v>0</v>
      </c>
      <c r="N48" s="399">
        <f>+ROUND(M48*(1+N8),2)</f>
        <v>0</v>
      </c>
    </row>
    <row r="49" spans="1:14" ht="11.25">
      <c r="A49" s="98" t="str">
        <f t="shared" si="9"/>
        <v>Outros</v>
      </c>
      <c r="B49" s="89"/>
      <c r="C49" s="90"/>
      <c r="D49" s="40"/>
      <c r="E49" s="399">
        <f>+ROUND(D49*(1+E8),2)</f>
        <v>0</v>
      </c>
      <c r="F49" s="399">
        <f t="shared" ref="F49:K49" si="18">+ROUND(E49*(1+F8),2)</f>
        <v>0</v>
      </c>
      <c r="G49" s="399">
        <f t="shared" si="18"/>
        <v>0</v>
      </c>
      <c r="H49" s="399">
        <f t="shared" si="18"/>
        <v>0</v>
      </c>
      <c r="I49" s="399">
        <f t="shared" si="18"/>
        <v>0</v>
      </c>
      <c r="J49" s="399">
        <f t="shared" si="18"/>
        <v>0</v>
      </c>
      <c r="K49" s="399">
        <f t="shared" si="18"/>
        <v>0</v>
      </c>
      <c r="L49" s="399">
        <f>+ROUND(K49*(1+L8),2)</f>
        <v>0</v>
      </c>
      <c r="M49" s="399">
        <f>+ROUND(L49*(1+M8),2)</f>
        <v>0</v>
      </c>
      <c r="N49" s="399">
        <f>+ROUND(M49*(1+N8),2)</f>
        <v>0</v>
      </c>
    </row>
    <row r="50" spans="1:14" ht="11.25">
      <c r="A50" s="98">
        <f t="shared" si="9"/>
        <v>0</v>
      </c>
      <c r="B50" s="105"/>
      <c r="C50" s="106"/>
      <c r="D50" s="41"/>
      <c r="E50" s="399">
        <f>+ROUND(D50*(1+E8),2)</f>
        <v>0</v>
      </c>
      <c r="F50" s="399">
        <f t="shared" ref="F50:K50" si="19">+ROUND(E50*(1+F8),2)</f>
        <v>0</v>
      </c>
      <c r="G50" s="399">
        <f t="shared" si="19"/>
        <v>0</v>
      </c>
      <c r="H50" s="399">
        <f t="shared" si="19"/>
        <v>0</v>
      </c>
      <c r="I50" s="399">
        <f t="shared" si="19"/>
        <v>0</v>
      </c>
      <c r="J50" s="399">
        <f t="shared" si="19"/>
        <v>0</v>
      </c>
      <c r="K50" s="399">
        <f t="shared" si="19"/>
        <v>0</v>
      </c>
      <c r="L50" s="399">
        <f>+ROUND(K50*(1+L8),2)</f>
        <v>0</v>
      </c>
      <c r="M50" s="399">
        <f>+ROUND(L50*(1+M8),2)</f>
        <v>0</v>
      </c>
      <c r="N50" s="399">
        <f>+ROUND(M50*(1+N8),2)</f>
        <v>0</v>
      </c>
    </row>
    <row r="51" spans="1:14" ht="11.25">
      <c r="A51" s="98">
        <f t="shared" si="9"/>
        <v>0</v>
      </c>
      <c r="B51" s="105"/>
      <c r="C51" s="106"/>
      <c r="D51" s="40"/>
      <c r="E51" s="399">
        <f>+ROUND(D51*(1+E8),2)</f>
        <v>0</v>
      </c>
      <c r="F51" s="399">
        <f t="shared" ref="F51:K51" si="20">+ROUND(E51*(1+F8),2)</f>
        <v>0</v>
      </c>
      <c r="G51" s="399">
        <f t="shared" si="20"/>
        <v>0</v>
      </c>
      <c r="H51" s="399">
        <f t="shared" si="20"/>
        <v>0</v>
      </c>
      <c r="I51" s="399">
        <f t="shared" si="20"/>
        <v>0</v>
      </c>
      <c r="J51" s="399">
        <f t="shared" si="20"/>
        <v>0</v>
      </c>
      <c r="K51" s="399">
        <f t="shared" si="20"/>
        <v>0</v>
      </c>
      <c r="L51" s="399">
        <f>+ROUND(K51*(1+L8),2)</f>
        <v>0</v>
      </c>
      <c r="M51" s="399">
        <f>+ROUND(L51*(1+M8),2)</f>
        <v>0</v>
      </c>
      <c r="N51" s="399">
        <f>+ROUND(M51*(1+N8),2)</f>
        <v>0</v>
      </c>
    </row>
    <row r="52" spans="1:14" ht="11.25">
      <c r="A52" s="107"/>
      <c r="B52" s="108"/>
      <c r="C52" s="109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</row>
    <row r="53" spans="1:14" ht="11.25">
      <c r="A53" s="107"/>
      <c r="B53" s="108"/>
      <c r="C53" s="109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</row>
    <row r="54" spans="1:14" ht="11.25">
      <c r="A54" s="545" t="s">
        <v>144</v>
      </c>
      <c r="B54" s="546"/>
      <c r="C54" s="547"/>
      <c r="D54" s="493">
        <f t="shared" ref="D54:N54" si="21">+D40</f>
        <v>2020</v>
      </c>
      <c r="E54" s="493">
        <f t="shared" si="21"/>
        <v>2021</v>
      </c>
      <c r="F54" s="493">
        <f t="shared" ref="F54:K54" si="22">+F40</f>
        <v>2022</v>
      </c>
      <c r="G54" s="493">
        <f t="shared" si="22"/>
        <v>2023</v>
      </c>
      <c r="H54" s="493">
        <f t="shared" si="22"/>
        <v>2024</v>
      </c>
      <c r="I54" s="493">
        <f t="shared" si="22"/>
        <v>2025</v>
      </c>
      <c r="J54" s="493">
        <f t="shared" si="22"/>
        <v>2026</v>
      </c>
      <c r="K54" s="493">
        <f t="shared" si="22"/>
        <v>2027</v>
      </c>
      <c r="L54" s="493">
        <f t="shared" si="21"/>
        <v>2028</v>
      </c>
      <c r="M54" s="493">
        <f t="shared" si="21"/>
        <v>2029</v>
      </c>
      <c r="N54" s="493">
        <f t="shared" si="21"/>
        <v>2030</v>
      </c>
    </row>
    <row r="55" spans="1:14" ht="11.25">
      <c r="A55" s="98" t="str">
        <f>+A41</f>
        <v>Administração / Direcção</v>
      </c>
      <c r="B55" s="89"/>
      <c r="C55" s="90"/>
      <c r="D55" s="111">
        <f t="shared" ref="D55:D65" si="23">+D12*D27/12*D41*$D$7</f>
        <v>7700</v>
      </c>
      <c r="E55" s="111">
        <f t="shared" ref="E55:K65" si="24">+E12*E27/12*E41*$E$7</f>
        <v>7854</v>
      </c>
      <c r="F55" s="111">
        <f t="shared" si="24"/>
        <v>8008</v>
      </c>
      <c r="G55" s="111">
        <f t="shared" si="24"/>
        <v>12833.333333333334</v>
      </c>
      <c r="H55" s="111">
        <f t="shared" si="24"/>
        <v>13090</v>
      </c>
      <c r="I55" s="111">
        <f t="shared" si="24"/>
        <v>19250</v>
      </c>
      <c r="J55" s="111">
        <f t="shared" si="24"/>
        <v>25666.666666666668</v>
      </c>
      <c r="K55" s="111">
        <f t="shared" si="24"/>
        <v>26180</v>
      </c>
      <c r="L55" s="111">
        <f t="shared" ref="L55:L65" si="25">+L12*L27/12*L41*$L$7</f>
        <v>26703.600000000006</v>
      </c>
      <c r="M55" s="111">
        <f t="shared" ref="M55:M65" si="26">+M12*M27/12*M41*$M$7</f>
        <v>27237.723333333335</v>
      </c>
      <c r="N55" s="111">
        <f t="shared" ref="N55:N65" si="27">+N12*N27/12*N41*$N$7</f>
        <v>27782.498333333337</v>
      </c>
    </row>
    <row r="56" spans="1:14" ht="11.25">
      <c r="A56" s="98" t="str">
        <f t="shared" ref="A56:A65" si="28">+A42</f>
        <v>Administrativa Financeira</v>
      </c>
      <c r="B56" s="89"/>
      <c r="C56" s="90"/>
      <c r="D56" s="111">
        <f t="shared" si="23"/>
        <v>0</v>
      </c>
      <c r="E56" s="111">
        <f t="shared" si="24"/>
        <v>0</v>
      </c>
      <c r="F56" s="111">
        <f t="shared" si="24"/>
        <v>0</v>
      </c>
      <c r="G56" s="111">
        <f t="shared" si="24"/>
        <v>0</v>
      </c>
      <c r="H56" s="111">
        <f t="shared" si="24"/>
        <v>0</v>
      </c>
      <c r="I56" s="111">
        <f t="shared" si="24"/>
        <v>0</v>
      </c>
      <c r="J56" s="111">
        <f t="shared" si="24"/>
        <v>0</v>
      </c>
      <c r="K56" s="111">
        <f t="shared" si="24"/>
        <v>0</v>
      </c>
      <c r="L56" s="111">
        <f t="shared" si="25"/>
        <v>0</v>
      </c>
      <c r="M56" s="111">
        <f t="shared" si="26"/>
        <v>0</v>
      </c>
      <c r="N56" s="111">
        <f t="shared" si="27"/>
        <v>0</v>
      </c>
    </row>
    <row r="57" spans="1:14" ht="11.25">
      <c r="A57" s="98" t="str">
        <f t="shared" si="28"/>
        <v>Comercial / Marketing</v>
      </c>
      <c r="B57" s="89"/>
      <c r="C57" s="90"/>
      <c r="D57" s="111">
        <f t="shared" si="23"/>
        <v>0</v>
      </c>
      <c r="E57" s="111">
        <f t="shared" si="24"/>
        <v>0</v>
      </c>
      <c r="F57" s="111">
        <f t="shared" si="24"/>
        <v>0</v>
      </c>
      <c r="G57" s="111">
        <f t="shared" si="24"/>
        <v>0</v>
      </c>
      <c r="H57" s="111">
        <f t="shared" si="24"/>
        <v>0</v>
      </c>
      <c r="I57" s="111">
        <f t="shared" si="24"/>
        <v>0</v>
      </c>
      <c r="J57" s="111">
        <f t="shared" si="24"/>
        <v>0</v>
      </c>
      <c r="K57" s="111">
        <f t="shared" si="24"/>
        <v>0</v>
      </c>
      <c r="L57" s="111">
        <f t="shared" si="25"/>
        <v>0</v>
      </c>
      <c r="M57" s="111">
        <f t="shared" si="26"/>
        <v>0</v>
      </c>
      <c r="N57" s="111">
        <f t="shared" si="27"/>
        <v>0</v>
      </c>
    </row>
    <row r="58" spans="1:14" ht="11.25">
      <c r="A58" s="98" t="str">
        <f t="shared" si="28"/>
        <v>Produção / Operacional</v>
      </c>
      <c r="B58" s="89"/>
      <c r="C58" s="90"/>
      <c r="D58" s="111">
        <f t="shared" si="23"/>
        <v>15400</v>
      </c>
      <c r="E58" s="111">
        <f t="shared" si="24"/>
        <v>15708</v>
      </c>
      <c r="F58" s="111">
        <f t="shared" si="24"/>
        <v>16022.160000000002</v>
      </c>
      <c r="G58" s="111">
        <f t="shared" si="24"/>
        <v>30800</v>
      </c>
      <c r="H58" s="111">
        <f t="shared" si="24"/>
        <v>31416</v>
      </c>
      <c r="I58" s="111">
        <f t="shared" si="24"/>
        <v>32044.320000000003</v>
      </c>
      <c r="J58" s="111">
        <f t="shared" si="24"/>
        <v>51333.333333333336</v>
      </c>
      <c r="K58" s="111">
        <f t="shared" si="24"/>
        <v>52360</v>
      </c>
      <c r="L58" s="111">
        <f t="shared" si="25"/>
        <v>66759</v>
      </c>
      <c r="M58" s="111">
        <f t="shared" si="26"/>
        <v>68094.308333333334</v>
      </c>
      <c r="N58" s="111">
        <f t="shared" si="27"/>
        <v>69455.925000000003</v>
      </c>
    </row>
    <row r="59" spans="1:14" ht="11.25">
      <c r="A59" s="98" t="str">
        <f t="shared" si="28"/>
        <v>Qualidade</v>
      </c>
      <c r="B59" s="89"/>
      <c r="C59" s="90"/>
      <c r="D59" s="111">
        <f t="shared" si="23"/>
        <v>0</v>
      </c>
      <c r="E59" s="111">
        <f t="shared" si="24"/>
        <v>0</v>
      </c>
      <c r="F59" s="111">
        <f t="shared" si="24"/>
        <v>0</v>
      </c>
      <c r="G59" s="111">
        <f t="shared" si="24"/>
        <v>0</v>
      </c>
      <c r="H59" s="111">
        <f t="shared" si="24"/>
        <v>0</v>
      </c>
      <c r="I59" s="111">
        <f t="shared" si="24"/>
        <v>0</v>
      </c>
      <c r="J59" s="111">
        <f t="shared" si="24"/>
        <v>0</v>
      </c>
      <c r="K59" s="111">
        <f t="shared" si="24"/>
        <v>0</v>
      </c>
      <c r="L59" s="111">
        <f t="shared" si="25"/>
        <v>0</v>
      </c>
      <c r="M59" s="111">
        <f t="shared" si="26"/>
        <v>0</v>
      </c>
      <c r="N59" s="111">
        <f t="shared" si="27"/>
        <v>0</v>
      </c>
    </row>
    <row r="60" spans="1:14" ht="11.25">
      <c r="A60" s="98" t="str">
        <f t="shared" si="28"/>
        <v>Manutenção</v>
      </c>
      <c r="B60" s="89"/>
      <c r="C60" s="90"/>
      <c r="D60" s="111">
        <f t="shared" si="23"/>
        <v>0</v>
      </c>
      <c r="E60" s="111">
        <f t="shared" si="24"/>
        <v>0</v>
      </c>
      <c r="F60" s="111">
        <f t="shared" si="24"/>
        <v>0</v>
      </c>
      <c r="G60" s="111">
        <f t="shared" si="24"/>
        <v>0</v>
      </c>
      <c r="H60" s="111">
        <f t="shared" si="24"/>
        <v>0</v>
      </c>
      <c r="I60" s="111">
        <f t="shared" si="24"/>
        <v>0</v>
      </c>
      <c r="J60" s="111">
        <f t="shared" si="24"/>
        <v>0</v>
      </c>
      <c r="K60" s="111">
        <f t="shared" si="24"/>
        <v>0</v>
      </c>
      <c r="L60" s="111">
        <f t="shared" si="25"/>
        <v>0</v>
      </c>
      <c r="M60" s="111">
        <f t="shared" si="26"/>
        <v>0</v>
      </c>
      <c r="N60" s="111">
        <f t="shared" si="27"/>
        <v>0</v>
      </c>
    </row>
    <row r="61" spans="1:14" ht="11.25">
      <c r="A61" s="98" t="str">
        <f t="shared" si="28"/>
        <v>Aprovisionamento</v>
      </c>
      <c r="B61" s="89"/>
      <c r="C61" s="90"/>
      <c r="D61" s="111">
        <f t="shared" si="23"/>
        <v>0</v>
      </c>
      <c r="E61" s="111">
        <f t="shared" si="24"/>
        <v>0</v>
      </c>
      <c r="F61" s="111">
        <f t="shared" si="24"/>
        <v>0</v>
      </c>
      <c r="G61" s="111">
        <f t="shared" si="24"/>
        <v>0</v>
      </c>
      <c r="H61" s="111">
        <f t="shared" si="24"/>
        <v>0</v>
      </c>
      <c r="I61" s="111">
        <f t="shared" si="24"/>
        <v>0</v>
      </c>
      <c r="J61" s="111">
        <f t="shared" si="24"/>
        <v>0</v>
      </c>
      <c r="K61" s="111">
        <f t="shared" si="24"/>
        <v>0</v>
      </c>
      <c r="L61" s="111">
        <f t="shared" si="25"/>
        <v>0</v>
      </c>
      <c r="M61" s="111">
        <f t="shared" si="26"/>
        <v>0</v>
      </c>
      <c r="N61" s="111">
        <f t="shared" si="27"/>
        <v>0</v>
      </c>
    </row>
    <row r="62" spans="1:14" ht="11.25">
      <c r="A62" s="98" t="str">
        <f t="shared" si="28"/>
        <v>Investigação &amp; Desenvolvimento</v>
      </c>
      <c r="B62" s="89"/>
      <c r="C62" s="90"/>
      <c r="D62" s="111">
        <f t="shared" si="23"/>
        <v>0</v>
      </c>
      <c r="E62" s="111">
        <f t="shared" si="24"/>
        <v>0</v>
      </c>
      <c r="F62" s="111">
        <f t="shared" si="24"/>
        <v>0</v>
      </c>
      <c r="G62" s="111">
        <f t="shared" si="24"/>
        <v>0</v>
      </c>
      <c r="H62" s="111">
        <f t="shared" si="24"/>
        <v>0</v>
      </c>
      <c r="I62" s="111">
        <f t="shared" si="24"/>
        <v>0</v>
      </c>
      <c r="J62" s="111">
        <f t="shared" si="24"/>
        <v>0</v>
      </c>
      <c r="K62" s="111">
        <f t="shared" si="24"/>
        <v>0</v>
      </c>
      <c r="L62" s="111">
        <f t="shared" si="25"/>
        <v>0</v>
      </c>
      <c r="M62" s="111">
        <f t="shared" si="26"/>
        <v>0</v>
      </c>
      <c r="N62" s="111">
        <f t="shared" si="27"/>
        <v>0</v>
      </c>
    </row>
    <row r="63" spans="1:14" ht="11.25">
      <c r="A63" s="98" t="str">
        <f t="shared" si="28"/>
        <v>Outros</v>
      </c>
      <c r="B63" s="89"/>
      <c r="C63" s="90"/>
      <c r="D63" s="111">
        <f t="shared" si="23"/>
        <v>0</v>
      </c>
      <c r="E63" s="111">
        <f t="shared" si="24"/>
        <v>0</v>
      </c>
      <c r="F63" s="111">
        <f t="shared" si="24"/>
        <v>0</v>
      </c>
      <c r="G63" s="111">
        <f t="shared" si="24"/>
        <v>0</v>
      </c>
      <c r="H63" s="111">
        <f t="shared" si="24"/>
        <v>0</v>
      </c>
      <c r="I63" s="111">
        <f t="shared" si="24"/>
        <v>0</v>
      </c>
      <c r="J63" s="111">
        <f t="shared" si="24"/>
        <v>0</v>
      </c>
      <c r="K63" s="111">
        <f t="shared" si="24"/>
        <v>0</v>
      </c>
      <c r="L63" s="111">
        <f t="shared" si="25"/>
        <v>0</v>
      </c>
      <c r="M63" s="111">
        <f t="shared" si="26"/>
        <v>0</v>
      </c>
      <c r="N63" s="111">
        <f t="shared" si="27"/>
        <v>0</v>
      </c>
    </row>
    <row r="64" spans="1:14" ht="11.25">
      <c r="A64" s="98">
        <f t="shared" si="28"/>
        <v>0</v>
      </c>
      <c r="B64" s="105"/>
      <c r="C64" s="106"/>
      <c r="D64" s="111">
        <f t="shared" si="23"/>
        <v>0</v>
      </c>
      <c r="E64" s="111">
        <f t="shared" si="24"/>
        <v>0</v>
      </c>
      <c r="F64" s="111">
        <f t="shared" si="24"/>
        <v>0</v>
      </c>
      <c r="G64" s="111">
        <f t="shared" si="24"/>
        <v>0</v>
      </c>
      <c r="H64" s="111">
        <f t="shared" si="24"/>
        <v>0</v>
      </c>
      <c r="I64" s="111">
        <f t="shared" si="24"/>
        <v>0</v>
      </c>
      <c r="J64" s="111">
        <f t="shared" si="24"/>
        <v>0</v>
      </c>
      <c r="K64" s="111">
        <f t="shared" si="24"/>
        <v>0</v>
      </c>
      <c r="L64" s="111">
        <f t="shared" si="25"/>
        <v>0</v>
      </c>
      <c r="M64" s="111">
        <f t="shared" si="26"/>
        <v>0</v>
      </c>
      <c r="N64" s="111">
        <f t="shared" si="27"/>
        <v>0</v>
      </c>
    </row>
    <row r="65" spans="1:14" ht="11.25">
      <c r="A65" s="98">
        <f t="shared" si="28"/>
        <v>0</v>
      </c>
      <c r="B65" s="105"/>
      <c r="C65" s="106"/>
      <c r="D65" s="111">
        <f t="shared" si="23"/>
        <v>0</v>
      </c>
      <c r="E65" s="111">
        <f t="shared" si="24"/>
        <v>0</v>
      </c>
      <c r="F65" s="111">
        <f t="shared" si="24"/>
        <v>0</v>
      </c>
      <c r="G65" s="111">
        <f t="shared" si="24"/>
        <v>0</v>
      </c>
      <c r="H65" s="111">
        <f t="shared" si="24"/>
        <v>0</v>
      </c>
      <c r="I65" s="111">
        <f t="shared" si="24"/>
        <v>0</v>
      </c>
      <c r="J65" s="111">
        <f t="shared" si="24"/>
        <v>0</v>
      </c>
      <c r="K65" s="111">
        <f t="shared" si="24"/>
        <v>0</v>
      </c>
      <c r="L65" s="111">
        <f t="shared" si="25"/>
        <v>0</v>
      </c>
      <c r="M65" s="111">
        <f t="shared" si="26"/>
        <v>0</v>
      </c>
      <c r="N65" s="111">
        <f t="shared" si="27"/>
        <v>0</v>
      </c>
    </row>
    <row r="66" spans="1:14" ht="12" thickBot="1">
      <c r="A66" s="548" t="s">
        <v>141</v>
      </c>
      <c r="B66" s="549"/>
      <c r="C66" s="550"/>
      <c r="D66" s="112">
        <f t="shared" ref="D66:N66" si="29">+SUM(D55:D65)</f>
        <v>23100</v>
      </c>
      <c r="E66" s="112">
        <f t="shared" si="29"/>
        <v>23562</v>
      </c>
      <c r="F66" s="112">
        <f t="shared" ref="F66:K66" si="30">+SUM(F55:F65)</f>
        <v>24030.160000000003</v>
      </c>
      <c r="G66" s="112">
        <f t="shared" si="30"/>
        <v>43633.333333333336</v>
      </c>
      <c r="H66" s="112">
        <f t="shared" si="30"/>
        <v>44506</v>
      </c>
      <c r="I66" s="112">
        <f t="shared" si="30"/>
        <v>51294.320000000007</v>
      </c>
      <c r="J66" s="112">
        <f t="shared" si="30"/>
        <v>77000</v>
      </c>
      <c r="K66" s="112">
        <f t="shared" si="30"/>
        <v>78540</v>
      </c>
      <c r="L66" s="112">
        <f t="shared" si="29"/>
        <v>93462.6</v>
      </c>
      <c r="M66" s="112">
        <f t="shared" si="29"/>
        <v>95332.031666666677</v>
      </c>
      <c r="N66" s="112">
        <f t="shared" si="29"/>
        <v>97238.42333333334</v>
      </c>
    </row>
    <row r="67" spans="1:14" ht="12" thickTop="1">
      <c r="A67" s="107"/>
      <c r="B67" s="108"/>
      <c r="C67" s="109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</row>
    <row r="68" spans="1:14" ht="11.25">
      <c r="A68" s="54"/>
      <c r="B68" s="54"/>
      <c r="C68" s="113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</row>
    <row r="69" spans="1:14" ht="11.25">
      <c r="A69" s="542" t="s">
        <v>145</v>
      </c>
      <c r="B69" s="543"/>
      <c r="C69" s="544"/>
      <c r="D69" s="493">
        <f t="shared" ref="D69:N69" si="31">+D6</f>
        <v>2020</v>
      </c>
      <c r="E69" s="493">
        <f t="shared" si="31"/>
        <v>2021</v>
      </c>
      <c r="F69" s="493">
        <f t="shared" ref="F69:K69" si="32">+F6</f>
        <v>2022</v>
      </c>
      <c r="G69" s="493">
        <f t="shared" si="32"/>
        <v>2023</v>
      </c>
      <c r="H69" s="493">
        <f t="shared" si="32"/>
        <v>2024</v>
      </c>
      <c r="I69" s="493">
        <f t="shared" si="32"/>
        <v>2025</v>
      </c>
      <c r="J69" s="493">
        <f t="shared" si="32"/>
        <v>2026</v>
      </c>
      <c r="K69" s="493">
        <f t="shared" si="32"/>
        <v>2027</v>
      </c>
      <c r="L69" s="493">
        <f t="shared" si="31"/>
        <v>2028</v>
      </c>
      <c r="M69" s="493">
        <f t="shared" si="31"/>
        <v>2029</v>
      </c>
      <c r="N69" s="493">
        <f t="shared" si="31"/>
        <v>2030</v>
      </c>
    </row>
    <row r="70" spans="1:14" ht="11.25">
      <c r="A70" s="115" t="s">
        <v>146</v>
      </c>
      <c r="B70" s="116"/>
      <c r="C70" s="496"/>
      <c r="D70" s="496"/>
      <c r="E70" s="496"/>
      <c r="F70" s="496"/>
      <c r="G70" s="496"/>
      <c r="H70" s="496"/>
      <c r="I70" s="496"/>
      <c r="J70" s="496"/>
      <c r="K70" s="496"/>
      <c r="L70" s="496"/>
      <c r="M70" s="496"/>
      <c r="N70" s="496"/>
    </row>
    <row r="71" spans="1:14" ht="11.25">
      <c r="A71" s="55" t="s">
        <v>147</v>
      </c>
      <c r="B71" s="117"/>
      <c r="C71" s="118">
        <f>+Pressupostos!B24</f>
        <v>0.23749999999999999</v>
      </c>
      <c r="D71" s="119">
        <f t="shared" ref="D71:N71" si="33">$C$71*(D55+D77)</f>
        <v>1828.75</v>
      </c>
      <c r="E71" s="119">
        <f t="shared" si="33"/>
        <v>1865.3249999999998</v>
      </c>
      <c r="F71" s="119">
        <f t="shared" ref="F71:K71" si="34">$C$71*(F55+F77)</f>
        <v>1901.8999999999999</v>
      </c>
      <c r="G71" s="119">
        <f t="shared" si="34"/>
        <v>3047.9166666666665</v>
      </c>
      <c r="H71" s="119">
        <f t="shared" si="34"/>
        <v>3108.875</v>
      </c>
      <c r="I71" s="119">
        <f t="shared" si="34"/>
        <v>4571.875</v>
      </c>
      <c r="J71" s="119">
        <f t="shared" si="34"/>
        <v>6095.833333333333</v>
      </c>
      <c r="K71" s="119">
        <f t="shared" si="34"/>
        <v>6217.75</v>
      </c>
      <c r="L71" s="119">
        <f t="shared" si="33"/>
        <v>6342.1050000000014</v>
      </c>
      <c r="M71" s="119">
        <f t="shared" si="33"/>
        <v>6468.959291666667</v>
      </c>
      <c r="N71" s="119">
        <f t="shared" si="33"/>
        <v>6598.3433541666673</v>
      </c>
    </row>
    <row r="72" spans="1:14" ht="11.25">
      <c r="A72" s="55" t="s">
        <v>148</v>
      </c>
      <c r="B72" s="117"/>
      <c r="C72" s="118">
        <f>+Pressupostos!B25</f>
        <v>0.23749999999999999</v>
      </c>
      <c r="D72" s="119">
        <f t="shared" ref="D72:N72" si="35">+$C$72*(SUM(D56:D65)+D78)</f>
        <v>3657.5</v>
      </c>
      <c r="E72" s="119">
        <f t="shared" si="35"/>
        <v>3730.6499999999996</v>
      </c>
      <c r="F72" s="119">
        <f t="shared" ref="F72:K72" si="36">+$C$72*(SUM(F56:F65)+F78)</f>
        <v>3805.2630000000004</v>
      </c>
      <c r="G72" s="119">
        <f t="shared" si="36"/>
        <v>7315</v>
      </c>
      <c r="H72" s="119">
        <f t="shared" si="36"/>
        <v>7461.2999999999993</v>
      </c>
      <c r="I72" s="119">
        <f t="shared" si="36"/>
        <v>7610.5260000000007</v>
      </c>
      <c r="J72" s="119">
        <f t="shared" si="36"/>
        <v>12191.666666666666</v>
      </c>
      <c r="K72" s="119">
        <f t="shared" si="36"/>
        <v>12435.5</v>
      </c>
      <c r="L72" s="119">
        <f t="shared" si="35"/>
        <v>15855.262499999999</v>
      </c>
      <c r="M72" s="119">
        <f t="shared" si="35"/>
        <v>16172.398229166665</v>
      </c>
      <c r="N72" s="119">
        <f t="shared" si="35"/>
        <v>16495.782187500001</v>
      </c>
    </row>
    <row r="73" spans="1:14" ht="11.25">
      <c r="A73" s="120" t="s">
        <v>149</v>
      </c>
      <c r="B73" s="121"/>
      <c r="C73" s="426">
        <v>8.5000000000000006E-2</v>
      </c>
      <c r="D73" s="122">
        <f t="shared" ref="D73:N73" si="37">+$C$73*D66</f>
        <v>1963.5000000000002</v>
      </c>
      <c r="E73" s="122">
        <f t="shared" si="37"/>
        <v>2002.7700000000002</v>
      </c>
      <c r="F73" s="122">
        <f t="shared" ref="F73:K73" si="38">+$C$73*F66</f>
        <v>2042.5636000000004</v>
      </c>
      <c r="G73" s="122">
        <f t="shared" si="38"/>
        <v>3708.8333333333339</v>
      </c>
      <c r="H73" s="122">
        <f t="shared" si="38"/>
        <v>3783.01</v>
      </c>
      <c r="I73" s="122">
        <f t="shared" si="38"/>
        <v>4360.0172000000011</v>
      </c>
      <c r="J73" s="122">
        <f t="shared" si="38"/>
        <v>6545.0000000000009</v>
      </c>
      <c r="K73" s="122">
        <f t="shared" si="38"/>
        <v>6675.9000000000005</v>
      </c>
      <c r="L73" s="122">
        <f t="shared" si="37"/>
        <v>7944.3210000000008</v>
      </c>
      <c r="M73" s="122">
        <f t="shared" si="37"/>
        <v>8103.2226916666677</v>
      </c>
      <c r="N73" s="122">
        <f t="shared" si="37"/>
        <v>8265.2659833333346</v>
      </c>
    </row>
    <row r="74" spans="1:14" ht="11.25">
      <c r="A74" s="120" t="s">
        <v>150</v>
      </c>
      <c r="B74" s="121"/>
      <c r="C74" s="427">
        <v>105</v>
      </c>
      <c r="D74" s="122">
        <f t="shared" ref="D74:N74" si="39">+$C$74*D75*D23</f>
        <v>3465</v>
      </c>
      <c r="E74" s="122">
        <f t="shared" si="39"/>
        <v>3465</v>
      </c>
      <c r="F74" s="122">
        <f t="shared" ref="F74:K74" si="40">+$C$74*F75*F23</f>
        <v>3465</v>
      </c>
      <c r="G74" s="122">
        <f t="shared" si="40"/>
        <v>4620</v>
      </c>
      <c r="H74" s="122">
        <f t="shared" si="40"/>
        <v>5775</v>
      </c>
      <c r="I74" s="122">
        <f t="shared" si="40"/>
        <v>5775</v>
      </c>
      <c r="J74" s="122">
        <f t="shared" si="40"/>
        <v>6930</v>
      </c>
      <c r="K74" s="122">
        <f t="shared" si="40"/>
        <v>6930</v>
      </c>
      <c r="L74" s="122">
        <f t="shared" si="39"/>
        <v>8085</v>
      </c>
      <c r="M74" s="122">
        <f t="shared" si="39"/>
        <v>8085</v>
      </c>
      <c r="N74" s="122">
        <f t="shared" si="39"/>
        <v>8085</v>
      </c>
    </row>
    <row r="75" spans="1:14" ht="11.25">
      <c r="A75" s="369" t="s">
        <v>151</v>
      </c>
      <c r="B75" s="141"/>
      <c r="C75" s="496"/>
      <c r="D75" s="370">
        <v>11</v>
      </c>
      <c r="E75" s="370">
        <v>11</v>
      </c>
      <c r="F75" s="370">
        <v>11</v>
      </c>
      <c r="G75" s="370">
        <v>11</v>
      </c>
      <c r="H75" s="370">
        <v>11</v>
      </c>
      <c r="I75" s="370">
        <v>11</v>
      </c>
      <c r="J75" s="370">
        <v>11</v>
      </c>
      <c r="K75" s="370">
        <v>11</v>
      </c>
      <c r="L75" s="370">
        <v>11</v>
      </c>
      <c r="M75" s="370">
        <v>11</v>
      </c>
      <c r="N75" s="370">
        <v>11</v>
      </c>
    </row>
    <row r="76" spans="1:14" ht="11.25">
      <c r="A76" s="120" t="s">
        <v>152</v>
      </c>
      <c r="B76" s="141"/>
      <c r="C76" s="496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</row>
    <row r="77" spans="1:14" ht="11.25">
      <c r="A77" s="55" t="s">
        <v>147</v>
      </c>
      <c r="B77" s="117"/>
      <c r="C77" s="38"/>
      <c r="D77" s="269"/>
      <c r="E77" s="269"/>
      <c r="F77" s="269"/>
      <c r="G77" s="269"/>
      <c r="H77" s="269"/>
      <c r="I77" s="269"/>
      <c r="J77" s="269"/>
      <c r="K77" s="269"/>
      <c r="L77" s="269"/>
      <c r="M77" s="269"/>
      <c r="N77" s="269"/>
    </row>
    <row r="78" spans="1:14" ht="11.25">
      <c r="A78" s="55" t="s">
        <v>148</v>
      </c>
      <c r="B78" s="117"/>
      <c r="C78" s="38"/>
      <c r="D78" s="269"/>
      <c r="E78" s="269"/>
      <c r="F78" s="269"/>
      <c r="G78" s="269"/>
      <c r="H78" s="269"/>
      <c r="I78" s="269"/>
      <c r="J78" s="269"/>
      <c r="K78" s="269"/>
      <c r="L78" s="269"/>
      <c r="M78" s="269"/>
      <c r="N78" s="269"/>
    </row>
    <row r="79" spans="1:14" ht="11.25">
      <c r="A79" s="123" t="s">
        <v>153</v>
      </c>
      <c r="B79" s="123"/>
      <c r="C79" s="124"/>
      <c r="D79" s="31">
        <f>150*3</f>
        <v>450</v>
      </c>
      <c r="E79" s="31">
        <f>150*3</f>
        <v>450</v>
      </c>
      <c r="F79" s="31">
        <f>150*3</f>
        <v>450</v>
      </c>
      <c r="G79" s="31">
        <f>150*4</f>
        <v>600</v>
      </c>
      <c r="H79" s="31">
        <f>150*5</f>
        <v>750</v>
      </c>
      <c r="I79" s="31">
        <f>150*5</f>
        <v>750</v>
      </c>
      <c r="J79" s="31">
        <f>150*6</f>
        <v>900</v>
      </c>
      <c r="K79" s="31">
        <f>150*6</f>
        <v>900</v>
      </c>
      <c r="L79" s="31">
        <f>150*7</f>
        <v>1050</v>
      </c>
      <c r="M79" s="31">
        <f>150*7</f>
        <v>1050</v>
      </c>
      <c r="N79" s="31">
        <f>150*7</f>
        <v>1050</v>
      </c>
    </row>
    <row r="80" spans="1:14" ht="11.25">
      <c r="A80" s="125" t="s">
        <v>154</v>
      </c>
      <c r="B80" s="106"/>
      <c r="C80" s="126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</row>
    <row r="81" spans="1:14" ht="14.25" customHeight="1" thickBot="1">
      <c r="A81" s="539" t="s">
        <v>155</v>
      </c>
      <c r="B81" s="540"/>
      <c r="C81" s="541"/>
      <c r="D81" s="36">
        <f t="shared" ref="D81:N81" si="41">+D71+D72+D73+D74+D77+D78+D79+D80</f>
        <v>11364.75</v>
      </c>
      <c r="E81" s="36">
        <f t="shared" si="41"/>
        <v>11513.744999999999</v>
      </c>
      <c r="F81" s="36">
        <f t="shared" ref="F81:K81" si="42">+F71+F72+F73+F74+F77+F78+F79+F80</f>
        <v>11664.726600000002</v>
      </c>
      <c r="G81" s="36">
        <f t="shared" si="42"/>
        <v>19291.75</v>
      </c>
      <c r="H81" s="36">
        <f t="shared" si="42"/>
        <v>20878.184999999998</v>
      </c>
      <c r="I81" s="36">
        <f t="shared" si="42"/>
        <v>23067.418200000004</v>
      </c>
      <c r="J81" s="36">
        <f t="shared" si="42"/>
        <v>32662.5</v>
      </c>
      <c r="K81" s="36">
        <f t="shared" si="42"/>
        <v>33159.15</v>
      </c>
      <c r="L81" s="36">
        <f t="shared" si="41"/>
        <v>39276.688500000004</v>
      </c>
      <c r="M81" s="36">
        <f t="shared" si="41"/>
        <v>39879.580212499997</v>
      </c>
      <c r="N81" s="36">
        <f t="shared" si="41"/>
        <v>40494.391524999999</v>
      </c>
    </row>
    <row r="82" spans="1:14" ht="12" thickTop="1">
      <c r="A82" s="108"/>
      <c r="B82" s="108"/>
      <c r="C82" s="127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</row>
    <row r="83" spans="1:14" ht="12" thickBot="1">
      <c r="A83" s="539" t="s">
        <v>156</v>
      </c>
      <c r="B83" s="540"/>
      <c r="C83" s="541"/>
      <c r="D83" s="36">
        <f t="shared" ref="D83:N83" si="43">D66+D81</f>
        <v>34464.75</v>
      </c>
      <c r="E83" s="36">
        <f t="shared" si="43"/>
        <v>35075.744999999995</v>
      </c>
      <c r="F83" s="36">
        <f t="shared" ref="F83:K83" si="44">F66+F81</f>
        <v>35694.886600000005</v>
      </c>
      <c r="G83" s="36">
        <f t="shared" si="44"/>
        <v>62925.083333333336</v>
      </c>
      <c r="H83" s="36">
        <f t="shared" si="44"/>
        <v>65384.184999999998</v>
      </c>
      <c r="I83" s="36">
        <f t="shared" si="44"/>
        <v>74361.738200000007</v>
      </c>
      <c r="J83" s="36">
        <f t="shared" si="44"/>
        <v>109662.5</v>
      </c>
      <c r="K83" s="36">
        <f t="shared" si="44"/>
        <v>111699.15</v>
      </c>
      <c r="L83" s="36">
        <f t="shared" si="43"/>
        <v>132739.28850000002</v>
      </c>
      <c r="M83" s="36">
        <f t="shared" si="43"/>
        <v>135211.61187916668</v>
      </c>
      <c r="N83" s="36">
        <f t="shared" si="43"/>
        <v>137732.81485833332</v>
      </c>
    </row>
    <row r="84" spans="1:14" ht="12" thickTop="1">
      <c r="A84" s="108"/>
      <c r="B84" s="108"/>
      <c r="C84" s="127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</row>
    <row r="85" spans="1:14" ht="11.25">
      <c r="A85" s="108"/>
      <c r="B85" s="108"/>
      <c r="C85" s="127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</row>
    <row r="86" spans="1:14" ht="11.25">
      <c r="A86" s="542" t="s">
        <v>157</v>
      </c>
      <c r="B86" s="543"/>
      <c r="C86" s="544"/>
      <c r="D86" s="493">
        <f t="shared" ref="D86:N86" si="45">+D6</f>
        <v>2020</v>
      </c>
      <c r="E86" s="493">
        <f t="shared" si="45"/>
        <v>2021</v>
      </c>
      <c r="F86" s="493">
        <f t="shared" ref="F86:K86" si="46">+F6</f>
        <v>2022</v>
      </c>
      <c r="G86" s="493">
        <f t="shared" si="46"/>
        <v>2023</v>
      </c>
      <c r="H86" s="493">
        <f t="shared" si="46"/>
        <v>2024</v>
      </c>
      <c r="I86" s="493">
        <f t="shared" si="46"/>
        <v>2025</v>
      </c>
      <c r="J86" s="493">
        <f t="shared" si="46"/>
        <v>2026</v>
      </c>
      <c r="K86" s="493">
        <f t="shared" si="46"/>
        <v>2027</v>
      </c>
      <c r="L86" s="493">
        <f t="shared" si="45"/>
        <v>2028</v>
      </c>
      <c r="M86" s="493">
        <f t="shared" si="45"/>
        <v>2029</v>
      </c>
      <c r="N86" s="493">
        <f t="shared" si="45"/>
        <v>2030</v>
      </c>
    </row>
    <row r="87" spans="1:14" ht="11.25">
      <c r="A87" s="128" t="s">
        <v>158</v>
      </c>
      <c r="B87" s="90"/>
      <c r="C87" s="126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</row>
    <row r="88" spans="1:14" ht="11.25">
      <c r="A88" s="55" t="s">
        <v>147</v>
      </c>
      <c r="B88" s="129"/>
      <c r="C88" s="126"/>
      <c r="D88" s="119">
        <f t="shared" ref="D88:N88" si="47">D55+D77</f>
        <v>7700</v>
      </c>
      <c r="E88" s="119">
        <f t="shared" si="47"/>
        <v>7854</v>
      </c>
      <c r="F88" s="119">
        <f t="shared" ref="F88:K88" si="48">F55+F77</f>
        <v>8008</v>
      </c>
      <c r="G88" s="119">
        <f t="shared" si="48"/>
        <v>12833.333333333334</v>
      </c>
      <c r="H88" s="119">
        <f t="shared" si="48"/>
        <v>13090</v>
      </c>
      <c r="I88" s="119">
        <f t="shared" si="48"/>
        <v>19250</v>
      </c>
      <c r="J88" s="119">
        <f t="shared" si="48"/>
        <v>25666.666666666668</v>
      </c>
      <c r="K88" s="119">
        <f t="shared" si="48"/>
        <v>26180</v>
      </c>
      <c r="L88" s="119">
        <f t="shared" si="47"/>
        <v>26703.600000000006</v>
      </c>
      <c r="M88" s="119">
        <f t="shared" si="47"/>
        <v>27237.723333333335</v>
      </c>
      <c r="N88" s="119">
        <f t="shared" si="47"/>
        <v>27782.498333333337</v>
      </c>
    </row>
    <row r="89" spans="1:14" ht="11.25">
      <c r="A89" s="55" t="s">
        <v>148</v>
      </c>
      <c r="B89" s="129"/>
      <c r="C89" s="126"/>
      <c r="D89" s="119">
        <f t="shared" ref="D89:N89" si="49">+SUM(D56:D65)+D78</f>
        <v>15400</v>
      </c>
      <c r="E89" s="119">
        <f t="shared" si="49"/>
        <v>15708</v>
      </c>
      <c r="F89" s="119">
        <f t="shared" ref="F89:K89" si="50">+SUM(F56:F65)+F78</f>
        <v>16022.160000000002</v>
      </c>
      <c r="G89" s="119">
        <f t="shared" si="50"/>
        <v>30800</v>
      </c>
      <c r="H89" s="119">
        <f t="shared" si="50"/>
        <v>31416</v>
      </c>
      <c r="I89" s="119">
        <f t="shared" si="50"/>
        <v>32044.320000000003</v>
      </c>
      <c r="J89" s="119">
        <f t="shared" si="50"/>
        <v>51333.333333333336</v>
      </c>
      <c r="K89" s="119">
        <f t="shared" si="50"/>
        <v>52360</v>
      </c>
      <c r="L89" s="119">
        <f t="shared" si="49"/>
        <v>66759</v>
      </c>
      <c r="M89" s="119">
        <f t="shared" si="49"/>
        <v>68094.308333333334</v>
      </c>
      <c r="N89" s="119">
        <f t="shared" si="49"/>
        <v>69455.925000000003</v>
      </c>
    </row>
    <row r="90" spans="1:14" ht="11.25">
      <c r="A90" s="128" t="s">
        <v>159</v>
      </c>
      <c r="B90" s="90"/>
      <c r="C90" s="126"/>
      <c r="D90" s="119">
        <f t="shared" ref="D90:N90" si="51">+D71+D72</f>
        <v>5486.25</v>
      </c>
      <c r="E90" s="119">
        <f t="shared" si="51"/>
        <v>5595.9749999999995</v>
      </c>
      <c r="F90" s="119">
        <f t="shared" ref="F90:K90" si="52">+F71+F72</f>
        <v>5707.1630000000005</v>
      </c>
      <c r="G90" s="119">
        <f t="shared" si="52"/>
        <v>10362.916666666666</v>
      </c>
      <c r="H90" s="119">
        <f t="shared" si="52"/>
        <v>10570.174999999999</v>
      </c>
      <c r="I90" s="119">
        <f t="shared" si="52"/>
        <v>12182.401000000002</v>
      </c>
      <c r="J90" s="119">
        <f t="shared" si="52"/>
        <v>18287.5</v>
      </c>
      <c r="K90" s="119">
        <f t="shared" si="52"/>
        <v>18653.25</v>
      </c>
      <c r="L90" s="119">
        <f t="shared" si="51"/>
        <v>22197.3675</v>
      </c>
      <c r="M90" s="119">
        <f t="shared" si="51"/>
        <v>22641.357520833331</v>
      </c>
      <c r="N90" s="119">
        <f t="shared" si="51"/>
        <v>23094.125541666668</v>
      </c>
    </row>
    <row r="91" spans="1:14" ht="11.25">
      <c r="A91" s="120" t="s">
        <v>160</v>
      </c>
      <c r="B91" s="90"/>
      <c r="C91" s="126"/>
      <c r="D91" s="119">
        <f t="shared" ref="D91:N91" si="53">+D73</f>
        <v>1963.5000000000002</v>
      </c>
      <c r="E91" s="119">
        <f t="shared" si="53"/>
        <v>2002.7700000000002</v>
      </c>
      <c r="F91" s="119">
        <f t="shared" ref="F91:K91" si="54">+F73</f>
        <v>2042.5636000000004</v>
      </c>
      <c r="G91" s="119">
        <f t="shared" si="54"/>
        <v>3708.8333333333339</v>
      </c>
      <c r="H91" s="119">
        <f t="shared" si="54"/>
        <v>3783.01</v>
      </c>
      <c r="I91" s="119">
        <f t="shared" si="54"/>
        <v>4360.0172000000011</v>
      </c>
      <c r="J91" s="119">
        <f t="shared" si="54"/>
        <v>6545.0000000000009</v>
      </c>
      <c r="K91" s="119">
        <f t="shared" si="54"/>
        <v>6675.9000000000005</v>
      </c>
      <c r="L91" s="119">
        <f t="shared" si="53"/>
        <v>7944.3210000000008</v>
      </c>
      <c r="M91" s="119">
        <f t="shared" si="53"/>
        <v>8103.2226916666677</v>
      </c>
      <c r="N91" s="119">
        <f t="shared" si="53"/>
        <v>8265.2659833333346</v>
      </c>
    </row>
    <row r="92" spans="1:14" ht="11.25">
      <c r="A92" s="128" t="s">
        <v>161</v>
      </c>
      <c r="B92" s="90"/>
      <c r="C92" s="126"/>
      <c r="D92" s="119">
        <f t="shared" ref="D92:N92" si="55">+D74</f>
        <v>3465</v>
      </c>
      <c r="E92" s="119">
        <f t="shared" si="55"/>
        <v>3465</v>
      </c>
      <c r="F92" s="119">
        <f t="shared" ref="F92:K92" si="56">+F74</f>
        <v>3465</v>
      </c>
      <c r="G92" s="119">
        <f t="shared" si="56"/>
        <v>4620</v>
      </c>
      <c r="H92" s="119">
        <f t="shared" si="56"/>
        <v>5775</v>
      </c>
      <c r="I92" s="119">
        <f t="shared" si="56"/>
        <v>5775</v>
      </c>
      <c r="J92" s="119">
        <f t="shared" si="56"/>
        <v>6930</v>
      </c>
      <c r="K92" s="119">
        <f t="shared" si="56"/>
        <v>6930</v>
      </c>
      <c r="L92" s="119">
        <f t="shared" si="55"/>
        <v>8085</v>
      </c>
      <c r="M92" s="119">
        <f t="shared" si="55"/>
        <v>8085</v>
      </c>
      <c r="N92" s="119">
        <f t="shared" si="55"/>
        <v>8085</v>
      </c>
    </row>
    <row r="93" spans="1:14" ht="11.25">
      <c r="A93" s="125" t="s">
        <v>162</v>
      </c>
      <c r="B93" s="106"/>
      <c r="C93" s="130"/>
      <c r="D93" s="328">
        <f t="shared" ref="D93:N93" si="57">+D79+D80</f>
        <v>450</v>
      </c>
      <c r="E93" s="328">
        <f t="shared" si="57"/>
        <v>450</v>
      </c>
      <c r="F93" s="328">
        <f t="shared" ref="F93:K93" si="58">+F79+F80</f>
        <v>450</v>
      </c>
      <c r="G93" s="328">
        <f t="shared" si="58"/>
        <v>600</v>
      </c>
      <c r="H93" s="328">
        <f t="shared" si="58"/>
        <v>750</v>
      </c>
      <c r="I93" s="328">
        <f t="shared" si="58"/>
        <v>750</v>
      </c>
      <c r="J93" s="328">
        <f t="shared" si="58"/>
        <v>900</v>
      </c>
      <c r="K93" s="328">
        <f t="shared" si="58"/>
        <v>900</v>
      </c>
      <c r="L93" s="328">
        <f t="shared" si="57"/>
        <v>1050</v>
      </c>
      <c r="M93" s="328">
        <f t="shared" si="57"/>
        <v>1050</v>
      </c>
      <c r="N93" s="328">
        <f t="shared" si="57"/>
        <v>1050</v>
      </c>
    </row>
    <row r="94" spans="1:14" ht="12" thickBot="1">
      <c r="A94" s="539" t="s">
        <v>156</v>
      </c>
      <c r="B94" s="540"/>
      <c r="C94" s="541"/>
      <c r="D94" s="36">
        <f t="shared" ref="D94:N94" si="59">SUM(D88:D93)</f>
        <v>34464.75</v>
      </c>
      <c r="E94" s="36">
        <f t="shared" si="59"/>
        <v>35075.744999999995</v>
      </c>
      <c r="F94" s="36">
        <f t="shared" ref="F94:K94" si="60">SUM(F88:F93)</f>
        <v>35694.886600000005</v>
      </c>
      <c r="G94" s="36">
        <f t="shared" si="60"/>
        <v>62925.083333333336</v>
      </c>
      <c r="H94" s="36">
        <f t="shared" si="60"/>
        <v>65384.185000000005</v>
      </c>
      <c r="I94" s="36">
        <f t="shared" si="60"/>
        <v>74361.738200000007</v>
      </c>
      <c r="J94" s="36">
        <f t="shared" si="60"/>
        <v>109662.5</v>
      </c>
      <c r="K94" s="36">
        <f t="shared" si="60"/>
        <v>111699.15</v>
      </c>
      <c r="L94" s="36">
        <f t="shared" si="59"/>
        <v>132739.2885</v>
      </c>
      <c r="M94" s="36">
        <f t="shared" si="59"/>
        <v>135211.61187916668</v>
      </c>
      <c r="N94" s="36">
        <f t="shared" si="59"/>
        <v>137732.81485833332</v>
      </c>
    </row>
    <row r="95" spans="1:14" ht="12" thickTop="1">
      <c r="A95" s="131"/>
      <c r="B95" s="131"/>
      <c r="C95" s="131"/>
      <c r="D95" s="114"/>
      <c r="E95" s="114"/>
      <c r="F95" s="114"/>
      <c r="G95" s="114"/>
      <c r="H95" s="114"/>
      <c r="I95" s="114"/>
      <c r="J95" s="114"/>
      <c r="K95" s="114"/>
      <c r="L95" s="114"/>
      <c r="M95" s="114"/>
      <c r="N95" s="114"/>
    </row>
    <row r="96" spans="1:14" ht="11.25">
      <c r="A96" s="108"/>
      <c r="B96" s="108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</row>
    <row r="97" spans="1:14" ht="11.25">
      <c r="A97" s="542" t="s">
        <v>163</v>
      </c>
      <c r="B97" s="543"/>
      <c r="C97" s="544"/>
      <c r="D97" s="493">
        <f t="shared" ref="D97:N97" si="61">+D86</f>
        <v>2020</v>
      </c>
      <c r="E97" s="493">
        <f t="shared" si="61"/>
        <v>2021</v>
      </c>
      <c r="F97" s="493">
        <f t="shared" ref="F97:K97" si="62">+F86</f>
        <v>2022</v>
      </c>
      <c r="G97" s="493">
        <f t="shared" si="62"/>
        <v>2023</v>
      </c>
      <c r="H97" s="493">
        <f t="shared" si="62"/>
        <v>2024</v>
      </c>
      <c r="I97" s="493">
        <f t="shared" si="62"/>
        <v>2025</v>
      </c>
      <c r="J97" s="493">
        <f t="shared" si="62"/>
        <v>2026</v>
      </c>
      <c r="K97" s="493">
        <f t="shared" si="62"/>
        <v>2027</v>
      </c>
      <c r="L97" s="493">
        <f t="shared" si="61"/>
        <v>2028</v>
      </c>
      <c r="M97" s="493">
        <f t="shared" si="61"/>
        <v>2029</v>
      </c>
      <c r="N97" s="493">
        <f t="shared" si="61"/>
        <v>2030</v>
      </c>
    </row>
    <row r="98" spans="1:14" ht="11.25">
      <c r="A98" s="128" t="s">
        <v>164</v>
      </c>
      <c r="B98" s="90"/>
      <c r="C98" s="118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</row>
    <row r="99" spans="1:14" ht="11.25">
      <c r="A99" s="55" t="s">
        <v>165</v>
      </c>
      <c r="B99" s="117"/>
      <c r="C99" s="118">
        <f>+Pressupostos!B26</f>
        <v>0.11</v>
      </c>
      <c r="D99" s="119">
        <f t="shared" ref="D99:N99" si="63">+$C$99*D88</f>
        <v>847</v>
      </c>
      <c r="E99" s="119">
        <f t="shared" si="63"/>
        <v>863.94</v>
      </c>
      <c r="F99" s="119">
        <f t="shared" ref="F99:K99" si="64">+$C$99*F88</f>
        <v>880.88</v>
      </c>
      <c r="G99" s="119">
        <f t="shared" si="64"/>
        <v>1411.6666666666667</v>
      </c>
      <c r="H99" s="119">
        <f t="shared" si="64"/>
        <v>1439.9</v>
      </c>
      <c r="I99" s="119">
        <f t="shared" si="64"/>
        <v>2117.5</v>
      </c>
      <c r="J99" s="119">
        <f t="shared" si="64"/>
        <v>2823.3333333333335</v>
      </c>
      <c r="K99" s="119">
        <f t="shared" si="64"/>
        <v>2879.8</v>
      </c>
      <c r="L99" s="119">
        <f t="shared" si="63"/>
        <v>2937.3960000000006</v>
      </c>
      <c r="M99" s="119">
        <f t="shared" si="63"/>
        <v>2996.1495666666669</v>
      </c>
      <c r="N99" s="119">
        <f t="shared" si="63"/>
        <v>3056.0748166666672</v>
      </c>
    </row>
    <row r="100" spans="1:14" ht="11.25">
      <c r="A100" s="55" t="s">
        <v>166</v>
      </c>
      <c r="B100" s="117"/>
      <c r="C100" s="118">
        <f>+Pressupostos!B27</f>
        <v>0.11</v>
      </c>
      <c r="D100" s="119">
        <f t="shared" ref="D100:N100" si="65">+$C$100*D89</f>
        <v>1694</v>
      </c>
      <c r="E100" s="119">
        <f t="shared" si="65"/>
        <v>1727.88</v>
      </c>
      <c r="F100" s="119">
        <f t="shared" ref="F100:K100" si="66">+$C$100*F89</f>
        <v>1762.4376000000002</v>
      </c>
      <c r="G100" s="119">
        <f t="shared" si="66"/>
        <v>3388</v>
      </c>
      <c r="H100" s="119">
        <f t="shared" si="66"/>
        <v>3455.76</v>
      </c>
      <c r="I100" s="119">
        <f t="shared" si="66"/>
        <v>3524.8752000000004</v>
      </c>
      <c r="J100" s="119">
        <f t="shared" si="66"/>
        <v>5646.666666666667</v>
      </c>
      <c r="K100" s="119">
        <f t="shared" si="66"/>
        <v>5759.6</v>
      </c>
      <c r="L100" s="119">
        <f t="shared" si="65"/>
        <v>7343.49</v>
      </c>
      <c r="M100" s="119">
        <f t="shared" si="65"/>
        <v>7490.3739166666664</v>
      </c>
      <c r="N100" s="119">
        <f t="shared" si="65"/>
        <v>7640.15175</v>
      </c>
    </row>
    <row r="101" spans="1:14" ht="11.25">
      <c r="A101" s="128" t="s">
        <v>167</v>
      </c>
      <c r="B101" s="90"/>
      <c r="C101" s="118">
        <f>+Pressupostos!B28</f>
        <v>0.15</v>
      </c>
      <c r="D101" s="119">
        <f t="shared" ref="D101:N101" si="67">+$C$101*(D88+D89)</f>
        <v>3465</v>
      </c>
      <c r="E101" s="119">
        <f t="shared" si="67"/>
        <v>3534.2999999999997</v>
      </c>
      <c r="F101" s="119">
        <f t="shared" ref="F101:K101" si="68">+$C$101*(F88+F89)</f>
        <v>3604.5240000000003</v>
      </c>
      <c r="G101" s="119">
        <f t="shared" si="68"/>
        <v>6545</v>
      </c>
      <c r="H101" s="119">
        <f t="shared" si="68"/>
        <v>6675.9</v>
      </c>
      <c r="I101" s="119">
        <f t="shared" si="68"/>
        <v>7694.148000000001</v>
      </c>
      <c r="J101" s="119">
        <f t="shared" si="68"/>
        <v>11550</v>
      </c>
      <c r="K101" s="119">
        <f t="shared" si="68"/>
        <v>11781</v>
      </c>
      <c r="L101" s="119">
        <f t="shared" si="67"/>
        <v>14019.390000000001</v>
      </c>
      <c r="M101" s="119">
        <f t="shared" si="67"/>
        <v>14299.804750000001</v>
      </c>
      <c r="N101" s="119">
        <f t="shared" si="67"/>
        <v>14585.763500000001</v>
      </c>
    </row>
    <row r="102" spans="1:14" ht="12" thickBot="1">
      <c r="A102" s="539" t="s">
        <v>168</v>
      </c>
      <c r="B102" s="540"/>
      <c r="C102" s="541"/>
      <c r="D102" s="36">
        <f t="shared" ref="D102:N102" si="69">SUM(D99:D101)</f>
        <v>6006</v>
      </c>
      <c r="E102" s="36">
        <f t="shared" si="69"/>
        <v>6126.12</v>
      </c>
      <c r="F102" s="36">
        <f t="shared" ref="F102:K102" si="70">SUM(F99:F101)</f>
        <v>6247.8416000000007</v>
      </c>
      <c r="G102" s="36">
        <f t="shared" si="70"/>
        <v>11344.666666666668</v>
      </c>
      <c r="H102" s="36">
        <f t="shared" si="70"/>
        <v>11571.56</v>
      </c>
      <c r="I102" s="36">
        <f t="shared" si="70"/>
        <v>13336.523200000001</v>
      </c>
      <c r="J102" s="36">
        <f t="shared" si="70"/>
        <v>20020</v>
      </c>
      <c r="K102" s="36">
        <f t="shared" si="70"/>
        <v>20420.400000000001</v>
      </c>
      <c r="L102" s="36">
        <f t="shared" si="69"/>
        <v>24300.276000000002</v>
      </c>
      <c r="M102" s="36">
        <f t="shared" si="69"/>
        <v>24786.328233333334</v>
      </c>
      <c r="N102" s="36">
        <f t="shared" si="69"/>
        <v>25281.990066666669</v>
      </c>
    </row>
    <row r="103" spans="1:14" ht="12" thickTop="1">
      <c r="A103" s="70"/>
      <c r="B103" s="70"/>
      <c r="C103" s="132"/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</row>
    <row r="104" spans="1:14" ht="11.25">
      <c r="A104" s="70"/>
      <c r="B104" s="70"/>
      <c r="C104" s="132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</row>
    <row r="105" spans="1:14" ht="11.25">
      <c r="A105" s="134"/>
      <c r="B105" s="134"/>
      <c r="C105" s="132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</row>
  </sheetData>
  <sheetProtection password="8318" sheet="1"/>
  <mergeCells count="14">
    <mergeCell ref="A4:N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1:N37"/>
  <sheetViews>
    <sheetView showGridLines="0" showZeros="0" zoomScale="140" zoomScaleNormal="140" workbookViewId="0">
      <selection activeCell="E5" sqref="E5"/>
    </sheetView>
  </sheetViews>
  <sheetFormatPr defaultColWidth="8.85546875" defaultRowHeight="11.1"/>
  <cols>
    <col min="1" max="1" width="26.85546875" style="63" customWidth="1"/>
    <col min="2" max="2" width="3.140625" style="63" customWidth="1"/>
    <col min="3" max="13" width="8.85546875" style="63" customWidth="1"/>
    <col min="14" max="18" width="11.42578125" style="63" customWidth="1"/>
    <col min="19" max="16384" width="8.85546875" style="63"/>
  </cols>
  <sheetData>
    <row r="1" spans="1:13" ht="12.75">
      <c r="A1" s="54"/>
      <c r="B1" s="54"/>
      <c r="C1" s="136"/>
      <c r="D1" s="136"/>
      <c r="E1" s="136"/>
      <c r="F1" s="136"/>
      <c r="G1" s="136"/>
      <c r="H1" s="136"/>
      <c r="I1" s="136"/>
      <c r="J1" s="136"/>
      <c r="K1" s="136"/>
      <c r="L1" s="137" t="s">
        <v>30</v>
      </c>
      <c r="M1" s="138" t="str">
        <f>+Pressupostos!E1</f>
        <v>DUQUESA</v>
      </c>
    </row>
    <row r="2" spans="1:13" ht="11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2" t="str">
        <f>+Pressupostos!B9</f>
        <v>Euros</v>
      </c>
    </row>
    <row r="3" spans="1:13" ht="11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2"/>
    </row>
    <row r="4" spans="1:13" ht="13.5" customHeight="1">
      <c r="A4" s="526" t="s">
        <v>169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</row>
    <row r="5" spans="1:13" ht="12.75" customHeight="1">
      <c r="A5" s="54"/>
      <c r="B5" s="139"/>
      <c r="C5" s="139"/>
      <c r="D5" s="54"/>
      <c r="E5" s="54"/>
      <c r="F5" s="54"/>
      <c r="G5" s="54"/>
      <c r="H5" s="54"/>
      <c r="I5" s="54"/>
      <c r="J5" s="54"/>
      <c r="K5" s="54"/>
      <c r="L5" s="54"/>
      <c r="M5" s="54"/>
    </row>
    <row r="6" spans="1:13" ht="11.25">
      <c r="A6" s="54"/>
      <c r="B6" s="127"/>
      <c r="C6" s="139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13" ht="11.25">
      <c r="A7" s="128"/>
      <c r="B7" s="121"/>
      <c r="C7" s="493">
        <f>+VN!C8</f>
        <v>2020</v>
      </c>
      <c r="D7" s="493">
        <f>+VN!D8</f>
        <v>2021</v>
      </c>
      <c r="E7" s="493">
        <f>+VN!E8</f>
        <v>2022</v>
      </c>
      <c r="F7" s="493">
        <f>+VN!F8</f>
        <v>2023</v>
      </c>
      <c r="G7" s="493">
        <f>+VN!G8</f>
        <v>2024</v>
      </c>
      <c r="H7" s="493">
        <f>+VN!H8</f>
        <v>2025</v>
      </c>
      <c r="I7" s="493">
        <f>+VN!I8</f>
        <v>2026</v>
      </c>
      <c r="J7" s="493">
        <f>+VN!J8</f>
        <v>2027</v>
      </c>
      <c r="K7" s="493">
        <f>+VN!K8</f>
        <v>2028</v>
      </c>
      <c r="L7" s="493">
        <f>+VN!L8</f>
        <v>2029</v>
      </c>
      <c r="M7" s="493">
        <f>+VN!M8</f>
        <v>2030</v>
      </c>
    </row>
    <row r="8" spans="1:13" ht="11.25">
      <c r="A8" s="140" t="s">
        <v>170</v>
      </c>
      <c r="B8" s="141"/>
      <c r="C8" s="142"/>
      <c r="D8" s="93"/>
      <c r="E8" s="93"/>
      <c r="F8" s="93"/>
      <c r="G8" s="93"/>
      <c r="H8" s="93"/>
      <c r="I8" s="93"/>
      <c r="J8" s="93"/>
      <c r="K8" s="93"/>
      <c r="L8" s="93"/>
      <c r="M8" s="93"/>
    </row>
    <row r="9" spans="1:13" ht="11.25">
      <c r="A9" s="55" t="s">
        <v>171</v>
      </c>
      <c r="B9" s="141"/>
      <c r="C9" s="7">
        <v>2000</v>
      </c>
      <c r="D9" s="104">
        <f>+C9</f>
        <v>2000</v>
      </c>
      <c r="E9" s="104">
        <f t="shared" ref="E9:J9" si="0">+D9</f>
        <v>2000</v>
      </c>
      <c r="F9" s="104">
        <f t="shared" si="0"/>
        <v>2000</v>
      </c>
      <c r="G9" s="104">
        <f t="shared" si="0"/>
        <v>2000</v>
      </c>
      <c r="H9" s="104">
        <f t="shared" si="0"/>
        <v>2000</v>
      </c>
      <c r="I9" s="104">
        <f t="shared" si="0"/>
        <v>2000</v>
      </c>
      <c r="J9" s="104">
        <f t="shared" si="0"/>
        <v>2000</v>
      </c>
      <c r="K9" s="104">
        <f>+J9</f>
        <v>2000</v>
      </c>
      <c r="L9" s="104">
        <f>+K9</f>
        <v>2000</v>
      </c>
      <c r="M9" s="104">
        <f>+L9</f>
        <v>2000</v>
      </c>
    </row>
    <row r="10" spans="1:13" ht="11.25">
      <c r="A10" s="55" t="s">
        <v>172</v>
      </c>
      <c r="B10" s="141"/>
      <c r="C10" s="104">
        <f>VN!C84*Pressupostos!$C$13/12</f>
        <v>2247.8250000000003</v>
      </c>
      <c r="D10" s="104">
        <f>VN!D84*Pressupostos!$C$13/12</f>
        <v>4035.9221249999996</v>
      </c>
      <c r="E10" s="104">
        <f>VN!E84*Pressupostos!$C$13/12</f>
        <v>7498.7573527999994</v>
      </c>
      <c r="F10" s="104">
        <f>VN!F84*Pressupostos!$C$13/12</f>
        <v>12170.777389492001</v>
      </c>
      <c r="G10" s="104">
        <f>VN!G84*Pressupostos!$C$13/12</f>
        <v>18037.67922874169</v>
      </c>
      <c r="H10" s="104">
        <f>VN!H84*Pressupostos!$C$13/12</f>
        <v>24607.178592277021</v>
      </c>
      <c r="I10" s="104">
        <f>VN!I84*Pressupostos!$C$13/12</f>
        <v>31539.4165971529</v>
      </c>
      <c r="J10" s="104">
        <f>VN!J84*Pressupostos!$C$13/12</f>
        <v>38253.359231632981</v>
      </c>
      <c r="K10" s="104">
        <f>VN!K84*Pressupostos!$C$13/12</f>
        <v>42864.54299911578</v>
      </c>
      <c r="L10" s="104">
        <f>VN!L84*Pressupostos!$C$13/12</f>
        <v>45604.866296434026</v>
      </c>
      <c r="M10" s="104">
        <f>VN!M84*Pressupostos!$C$13/12</f>
        <v>48090.122751417686</v>
      </c>
    </row>
    <row r="11" spans="1:13" ht="11.25">
      <c r="A11" s="55" t="s">
        <v>173</v>
      </c>
      <c r="B11" s="141"/>
      <c r="C11" s="104">
        <f>CMVMC!C16*Pressupostos!$C$15/12</f>
        <v>287.14496964475171</v>
      </c>
      <c r="D11" s="104">
        <f>CMVMC!D16*Pressupostos!$C$15/12</f>
        <v>519.97167981415851</v>
      </c>
      <c r="E11" s="104">
        <f>CMVMC!E16*Pressupostos!$C$15/12</f>
        <v>949.94134951869557</v>
      </c>
      <c r="F11" s="104">
        <f>CMVMC!F16*Pressupostos!$C$15/12</f>
        <v>1493.0386871894286</v>
      </c>
      <c r="G11" s="104">
        <f>CMVMC!G16*Pressupostos!$C$15/12</f>
        <v>2175.0031962237567</v>
      </c>
      <c r="H11" s="104">
        <f>CMVMC!H16*Pressupostos!$C$15/12</f>
        <v>2935.3401464956646</v>
      </c>
      <c r="I11" s="104">
        <f>CMVMC!I16*Pressupostos!$C$15/12</f>
        <v>3694.527038507686</v>
      </c>
      <c r="J11" s="104">
        <f>CMVMC!J16*Pressupostos!$C$15/12</f>
        <v>4412.2630966649103</v>
      </c>
      <c r="K11" s="104">
        <f>CMVMC!K16*Pressupostos!$C$15/12</f>
        <v>4876.0613345033753</v>
      </c>
      <c r="L11" s="104">
        <f>CMVMC!L16*Pressupostos!$C$15/12</f>
        <v>5148.6811666731737</v>
      </c>
      <c r="M11" s="104">
        <f>CMVMC!M16*Pressupostos!$C$15/12</f>
        <v>5396.5251648390195</v>
      </c>
    </row>
    <row r="12" spans="1:13" ht="11.25">
      <c r="A12" s="55" t="s">
        <v>174</v>
      </c>
      <c r="B12" s="141"/>
      <c r="C12" s="104">
        <f t="shared" ref="C12:M12" si="1">IF(C30&lt;0,-C30,0)+IF(C31&lt;0,-C31,0)+IF(C32&lt;0,-C32,0)</f>
        <v>1796.4437231097577</v>
      </c>
      <c r="D12" s="104">
        <f t="shared" si="1"/>
        <v>0</v>
      </c>
      <c r="E12" s="104">
        <f t="shared" ref="E12:J12" si="2">IF(E30&lt;0,-E30,0)+IF(E31&lt;0,-E31,0)+IF(E32&lt;0,-E32,0)</f>
        <v>0</v>
      </c>
      <c r="F12" s="104">
        <f t="shared" si="2"/>
        <v>0</v>
      </c>
      <c r="G12" s="104">
        <f t="shared" si="2"/>
        <v>0</v>
      </c>
      <c r="H12" s="104">
        <f t="shared" si="2"/>
        <v>0</v>
      </c>
      <c r="I12" s="104">
        <f t="shared" si="2"/>
        <v>0</v>
      </c>
      <c r="J12" s="104">
        <f t="shared" si="2"/>
        <v>0</v>
      </c>
      <c r="K12" s="104">
        <f t="shared" si="1"/>
        <v>0</v>
      </c>
      <c r="L12" s="104">
        <f t="shared" si="1"/>
        <v>0</v>
      </c>
      <c r="M12" s="104">
        <f t="shared" si="1"/>
        <v>0</v>
      </c>
    </row>
    <row r="13" spans="1:13" ht="11.25">
      <c r="A13" s="553" t="s">
        <v>175</v>
      </c>
      <c r="B13" s="554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1:13" ht="11.25">
      <c r="A14" s="553" t="s">
        <v>175</v>
      </c>
      <c r="B14" s="554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  <row r="15" spans="1:13" ht="11.25">
      <c r="A15" s="551" t="s">
        <v>141</v>
      </c>
      <c r="B15" s="552"/>
      <c r="C15" s="143">
        <f t="shared" ref="C15:M15" si="3">SUM(C9:C14)</f>
        <v>6331.4136927545096</v>
      </c>
      <c r="D15" s="143">
        <f t="shared" si="3"/>
        <v>6555.8938048141572</v>
      </c>
      <c r="E15" s="143">
        <f t="shared" ref="E15:J15" si="4">SUM(E9:E14)</f>
        <v>10448.698702318696</v>
      </c>
      <c r="F15" s="143">
        <f t="shared" si="4"/>
        <v>15663.816076681429</v>
      </c>
      <c r="G15" s="143">
        <f t="shared" si="4"/>
        <v>22212.682424965446</v>
      </c>
      <c r="H15" s="143">
        <f t="shared" si="4"/>
        <v>29542.518738772687</v>
      </c>
      <c r="I15" s="143">
        <f t="shared" si="4"/>
        <v>37233.943635660587</v>
      </c>
      <c r="J15" s="143">
        <f t="shared" si="4"/>
        <v>44665.62232829789</v>
      </c>
      <c r="K15" s="143">
        <f t="shared" si="3"/>
        <v>49740.604333619158</v>
      </c>
      <c r="L15" s="143">
        <f t="shared" si="3"/>
        <v>52753.547463107199</v>
      </c>
      <c r="M15" s="143">
        <f t="shared" si="3"/>
        <v>55486.647916256705</v>
      </c>
    </row>
    <row r="16" spans="1:13" ht="11.25">
      <c r="A16" s="144" t="s">
        <v>176</v>
      </c>
      <c r="B16" s="141"/>
      <c r="C16" s="145"/>
      <c r="D16" s="146"/>
      <c r="E16" s="146"/>
      <c r="F16" s="146"/>
      <c r="G16" s="146"/>
      <c r="H16" s="146"/>
      <c r="I16" s="146"/>
      <c r="J16" s="146"/>
      <c r="K16" s="146"/>
      <c r="L16" s="146"/>
      <c r="M16" s="146"/>
    </row>
    <row r="17" spans="1:14" ht="11.25">
      <c r="A17" s="55" t="s">
        <v>177</v>
      </c>
      <c r="B17" s="141"/>
      <c r="C17" s="104">
        <f>(CMVMC!C20+FSE!F53)*Pressupostos!$C$14/12</f>
        <v>3475.1222553260891</v>
      </c>
      <c r="D17" s="104">
        <f>(CMVMC!D20+FSE!G53)*Pressupostos!$C$14/12</f>
        <v>4080.1437541428299</v>
      </c>
      <c r="E17" s="104">
        <f>(CMVMC!E20+FSE!H53)*Pressupostos!$C$14/12</f>
        <v>5220.9832758339917</v>
      </c>
      <c r="F17" s="104">
        <f>(CMVMC!F20+FSE!I53)*Pressupostos!$C$14/12</f>
        <v>6568.644502064174</v>
      </c>
      <c r="G17" s="104">
        <f>(CMVMC!G20+FSE!J53)*Pressupostos!$C$14/12</f>
        <v>8296.6368876044016</v>
      </c>
      <c r="H17" s="104">
        <f>(CMVMC!H20+FSE!K53)*Pressupostos!$C$14/12</f>
        <v>10219.968825522237</v>
      </c>
      <c r="I17" s="104">
        <f>(CMVMC!I20+FSE!L53)*Pressupostos!$C$14/12</f>
        <v>12143.040400523239</v>
      </c>
      <c r="J17" s="104">
        <f>(CMVMC!J20+FSE!M53)*Pressupostos!$C$14/12</f>
        <v>13994.381436935451</v>
      </c>
      <c r="K17" s="104">
        <f>(CMVMC!K20+FSE!N53)*Pressupostos!$C$14/12</f>
        <v>15194.453494209476</v>
      </c>
      <c r="L17" s="104">
        <f>(CMVMC!L20+FSE!O53)*Pressupostos!$C$14/12</f>
        <v>15927.892957460492</v>
      </c>
      <c r="M17" s="104">
        <f>(CMVMC!M20+FSE!P53)*Pressupostos!$C$14/12</f>
        <v>16605.101565822915</v>
      </c>
    </row>
    <row r="18" spans="1:14" ht="11.25">
      <c r="A18" s="55" t="s">
        <v>174</v>
      </c>
      <c r="B18" s="141"/>
      <c r="C18" s="104">
        <f t="shared" ref="C18:M18" si="5">IF(C30&gt;0,C30,0)+IF(C31&gt;0,C31,0)+IF(C32&gt;0,C32,0)</f>
        <v>1044.75</v>
      </c>
      <c r="D18" s="104">
        <f t="shared" si="5"/>
        <v>1697.5672814564614</v>
      </c>
      <c r="E18" s="104">
        <f t="shared" ref="E18:J18" si="6">IF(E30&gt;0,E30,0)+IF(E31&gt;0,E31,0)+IF(E32&gt;0,E32,0)</f>
        <v>3028.3672339102004</v>
      </c>
      <c r="F18" s="104">
        <f t="shared" si="6"/>
        <v>5135.2002656457153</v>
      </c>
      <c r="G18" s="104">
        <f t="shared" si="6"/>
        <v>7503.6808211141852</v>
      </c>
      <c r="H18" s="104">
        <f t="shared" si="6"/>
        <v>11076.104518020227</v>
      </c>
      <c r="I18" s="104">
        <f t="shared" si="6"/>
        <v>15056.051895853321</v>
      </c>
      <c r="J18" s="104">
        <f t="shared" si="6"/>
        <v>17860.905471649323</v>
      </c>
      <c r="K18" s="104">
        <f t="shared" si="5"/>
        <v>20456.841149341948</v>
      </c>
      <c r="L18" s="104">
        <f t="shared" si="5"/>
        <v>21674.754800874009</v>
      </c>
      <c r="M18" s="104">
        <f t="shared" si="5"/>
        <v>22782.873427838837</v>
      </c>
    </row>
    <row r="19" spans="1:14" ht="11.25">
      <c r="A19" s="553" t="s">
        <v>175</v>
      </c>
      <c r="B19" s="554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</row>
    <row r="20" spans="1:14" ht="12" thickBot="1">
      <c r="A20" s="548" t="s">
        <v>141</v>
      </c>
      <c r="B20" s="549"/>
      <c r="C20" s="147">
        <f t="shared" ref="C20:M20" si="7">+SUM(C17:C19)</f>
        <v>4519.8722553260886</v>
      </c>
      <c r="D20" s="147">
        <f t="shared" si="7"/>
        <v>5777.7110355992918</v>
      </c>
      <c r="E20" s="147">
        <f t="shared" ref="E20:J20" si="8">+SUM(E17:E19)</f>
        <v>8249.3505097441921</v>
      </c>
      <c r="F20" s="147">
        <f t="shared" si="8"/>
        <v>11703.844767709888</v>
      </c>
      <c r="G20" s="147">
        <f t="shared" si="8"/>
        <v>15800.317708718587</v>
      </c>
      <c r="H20" s="147">
        <f t="shared" si="8"/>
        <v>21296.073343542463</v>
      </c>
      <c r="I20" s="147">
        <f t="shared" si="8"/>
        <v>27199.092296376562</v>
      </c>
      <c r="J20" s="147">
        <f t="shared" si="8"/>
        <v>31855.286908584774</v>
      </c>
      <c r="K20" s="147">
        <f t="shared" si="7"/>
        <v>35651.294643551424</v>
      </c>
      <c r="L20" s="147">
        <f t="shared" si="7"/>
        <v>37602.647758334497</v>
      </c>
      <c r="M20" s="147">
        <f t="shared" si="7"/>
        <v>39387.974993661752</v>
      </c>
    </row>
    <row r="21" spans="1:14" ht="12" thickTop="1">
      <c r="A21" s="148"/>
      <c r="B21" s="108"/>
      <c r="C21" s="149"/>
      <c r="D21" s="150"/>
      <c r="E21" s="150"/>
      <c r="F21" s="150"/>
      <c r="G21" s="150"/>
      <c r="H21" s="150"/>
      <c r="I21" s="150"/>
      <c r="J21" s="150"/>
      <c r="K21" s="150"/>
      <c r="L21" s="150"/>
      <c r="M21" s="150"/>
    </row>
    <row r="22" spans="1:14" ht="12" thickBot="1">
      <c r="A22" s="151" t="s">
        <v>178</v>
      </c>
      <c r="B22" s="152"/>
      <c r="C22" s="147">
        <f t="shared" ref="C22:M22" si="9">+C15-C20</f>
        <v>1811.541437428421</v>
      </c>
      <c r="D22" s="147">
        <f t="shared" si="9"/>
        <v>778.1827692148654</v>
      </c>
      <c r="E22" s="147">
        <f t="shared" ref="E22:J22" si="10">+E15-E20</f>
        <v>2199.3481925745036</v>
      </c>
      <c r="F22" s="147">
        <f t="shared" si="10"/>
        <v>3959.9713089715406</v>
      </c>
      <c r="G22" s="147">
        <f t="shared" si="10"/>
        <v>6412.3647162468587</v>
      </c>
      <c r="H22" s="147">
        <f t="shared" si="10"/>
        <v>8246.4453952302247</v>
      </c>
      <c r="I22" s="147">
        <f t="shared" si="10"/>
        <v>10034.851339284025</v>
      </c>
      <c r="J22" s="147">
        <f t="shared" si="10"/>
        <v>12810.335419713116</v>
      </c>
      <c r="K22" s="147">
        <f t="shared" si="9"/>
        <v>14089.309690067734</v>
      </c>
      <c r="L22" s="147">
        <f t="shared" si="9"/>
        <v>15150.899704772703</v>
      </c>
      <c r="M22" s="147">
        <f t="shared" si="9"/>
        <v>16098.672922594953</v>
      </c>
    </row>
    <row r="23" spans="1:14" ht="12" thickTop="1">
      <c r="A23" s="153"/>
      <c r="B23" s="154"/>
      <c r="C23" s="149"/>
      <c r="D23" s="150"/>
      <c r="E23" s="150"/>
      <c r="F23" s="150"/>
      <c r="G23" s="150"/>
      <c r="H23" s="150"/>
      <c r="I23" s="150"/>
      <c r="J23" s="150"/>
      <c r="K23" s="150"/>
      <c r="L23" s="150"/>
      <c r="M23" s="150"/>
    </row>
    <row r="24" spans="1:14" ht="12" thickBot="1">
      <c r="A24" s="151" t="s">
        <v>179</v>
      </c>
      <c r="B24" s="152"/>
      <c r="C24" s="147">
        <f>+C22</f>
        <v>1811.541437428421</v>
      </c>
      <c r="D24" s="147">
        <f>+D22-C22</f>
        <v>-1033.3586682135556</v>
      </c>
      <c r="E24" s="147">
        <f t="shared" ref="E24:J24" si="11">+E22-D22</f>
        <v>1421.1654233596382</v>
      </c>
      <c r="F24" s="147">
        <f t="shared" si="11"/>
        <v>1760.6231163970369</v>
      </c>
      <c r="G24" s="147">
        <f t="shared" si="11"/>
        <v>2452.3934072753182</v>
      </c>
      <c r="H24" s="147">
        <f t="shared" si="11"/>
        <v>1834.0806789833659</v>
      </c>
      <c r="I24" s="147">
        <f t="shared" si="11"/>
        <v>1788.4059440538003</v>
      </c>
      <c r="J24" s="147">
        <f t="shared" si="11"/>
        <v>2775.4840804290907</v>
      </c>
      <c r="K24" s="147">
        <f>+K22-J22</f>
        <v>1278.9742703546181</v>
      </c>
      <c r="L24" s="147">
        <f>+L22-K22</f>
        <v>1061.5900147049688</v>
      </c>
      <c r="M24" s="147">
        <f>+M22-L22</f>
        <v>947.77321782225044</v>
      </c>
    </row>
    <row r="25" spans="1:14" ht="12" thickTop="1">
      <c r="A25" s="148"/>
      <c r="B25" s="108"/>
      <c r="C25" s="113"/>
      <c r="D25" s="54"/>
      <c r="E25" s="54"/>
      <c r="F25" s="54"/>
      <c r="G25" s="54"/>
      <c r="H25" s="54"/>
      <c r="I25" s="54"/>
      <c r="J25" s="54"/>
      <c r="K25" s="54"/>
      <c r="L25" s="54"/>
      <c r="M25" s="54"/>
    </row>
    <row r="26" spans="1:14" ht="11.25">
      <c r="A26" s="155" t="s">
        <v>180</v>
      </c>
      <c r="B26" s="108"/>
      <c r="C26" s="113"/>
      <c r="D26" s="54"/>
      <c r="E26" s="54"/>
      <c r="F26" s="54"/>
      <c r="G26" s="54"/>
      <c r="H26" s="54"/>
      <c r="I26" s="54"/>
      <c r="J26" s="54"/>
      <c r="K26" s="54"/>
      <c r="L26" s="54"/>
      <c r="M26" s="54"/>
    </row>
    <row r="27" spans="1:14" ht="11.25">
      <c r="A27" s="54"/>
      <c r="B27" s="54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</row>
    <row r="28" spans="1:14" ht="11.25"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</row>
    <row r="29" spans="1:14" ht="11.25">
      <c r="A29" s="295" t="s">
        <v>181</v>
      </c>
      <c r="B29" s="297"/>
      <c r="C29" s="298">
        <f t="shared" ref="C29:M29" si="12">+SUM(C30:C32)</f>
        <v>-751.69372310975768</v>
      </c>
      <c r="D29" s="298">
        <f t="shared" si="12"/>
        <v>1697.5672814564614</v>
      </c>
      <c r="E29" s="298">
        <f t="shared" ref="E29:J29" si="13">+SUM(E30:E32)</f>
        <v>3028.3672339102004</v>
      </c>
      <c r="F29" s="298">
        <f t="shared" si="13"/>
        <v>5135.2002656457153</v>
      </c>
      <c r="G29" s="298">
        <f t="shared" si="13"/>
        <v>7503.6808211141852</v>
      </c>
      <c r="H29" s="298">
        <f t="shared" si="13"/>
        <v>11076.104518020227</v>
      </c>
      <c r="I29" s="298">
        <f t="shared" si="13"/>
        <v>15056.051895853321</v>
      </c>
      <c r="J29" s="298">
        <f t="shared" si="13"/>
        <v>17860.905471649323</v>
      </c>
      <c r="K29" s="298">
        <f t="shared" si="12"/>
        <v>20456.841149341948</v>
      </c>
      <c r="L29" s="298">
        <f t="shared" si="12"/>
        <v>21674.754800874009</v>
      </c>
      <c r="M29" s="298">
        <f t="shared" si="12"/>
        <v>22782.873427838837</v>
      </c>
    </row>
    <row r="30" spans="1:14" ht="11.25">
      <c r="A30" s="296" t="s">
        <v>182</v>
      </c>
      <c r="B30" s="297"/>
      <c r="C30" s="299">
        <f>IF('Gastos com Pessoal'!D7=0,0,('Gastos com Pessoal'!D99+'Gastos com Pessoal'!D100+'Gastos com Pessoal'!D71+'Gastos com Pessoal'!D72)/'Gastos com Pessoal'!D7)</f>
        <v>729.75</v>
      </c>
      <c r="D30" s="299">
        <f>IF('Gastos com Pessoal'!E7=0,0,('Gastos com Pessoal'!E99+'Gastos com Pessoal'!E100+'Gastos com Pessoal'!E71+'Gastos com Pessoal'!E72)/'Gastos com Pessoal'!E7)</f>
        <v>744.34500000000003</v>
      </c>
      <c r="E30" s="299">
        <f>IF('Gastos com Pessoal'!F7=0,0,('Gastos com Pessoal'!F99+'Gastos com Pessoal'!F100+'Gastos com Pessoal'!F71+'Gastos com Pessoal'!F72)/'Gastos com Pessoal'!F7)</f>
        <v>759.13460000000009</v>
      </c>
      <c r="F30" s="299">
        <f>IF('Gastos com Pessoal'!G7=0,0,('Gastos com Pessoal'!G99+'Gastos com Pessoal'!G100+'Gastos com Pessoal'!G71+'Gastos com Pessoal'!G72)/'Gastos com Pessoal'!G7)</f>
        <v>1378.4166666666667</v>
      </c>
      <c r="G30" s="299">
        <f>IF('Gastos com Pessoal'!H7=0,0,('Gastos com Pessoal'!H99+'Gastos com Pessoal'!H100+'Gastos com Pessoal'!H71+'Gastos com Pessoal'!H72)/'Gastos com Pessoal'!H7)</f>
        <v>1405.9849999999999</v>
      </c>
      <c r="H30" s="299">
        <f>IF('Gastos com Pessoal'!I7=0,0,('Gastos com Pessoal'!I99+'Gastos com Pessoal'!I100+'Gastos com Pessoal'!I71+'Gastos com Pessoal'!I72)/'Gastos com Pessoal'!I7)</f>
        <v>1620.4341999999999</v>
      </c>
      <c r="I30" s="299">
        <f>IF('Gastos com Pessoal'!J7=0,0,('Gastos com Pessoal'!J99+'Gastos com Pessoal'!J100+'Gastos com Pessoal'!J71+'Gastos com Pessoal'!J72)/'Gastos com Pessoal'!J7)</f>
        <v>2432.5</v>
      </c>
      <c r="J30" s="299">
        <f>IF('Gastos com Pessoal'!K7=0,0,('Gastos com Pessoal'!K99+'Gastos com Pessoal'!K100+'Gastos com Pessoal'!K71+'Gastos com Pessoal'!K72)/'Gastos com Pessoal'!K7)</f>
        <v>2481.15</v>
      </c>
      <c r="K30" s="299">
        <f>IF('Gastos com Pessoal'!L7=0,0,('Gastos com Pessoal'!L99+'Gastos com Pessoal'!L100+'Gastos com Pessoal'!L71+'Gastos com Pessoal'!L72)/'Gastos com Pessoal'!L7)</f>
        <v>2952.5684999999999</v>
      </c>
      <c r="L30" s="299">
        <f>IF('Gastos com Pessoal'!M7=0,0,('Gastos com Pessoal'!M99+'Gastos com Pessoal'!M100+'Gastos com Pessoal'!M71+'Gastos com Pessoal'!M72)/'Gastos com Pessoal'!M7)</f>
        <v>3011.625545833333</v>
      </c>
      <c r="M30" s="299">
        <f>IF('Gastos com Pessoal'!N7=0,0,('Gastos com Pessoal'!N99+'Gastos com Pessoal'!N100+'Gastos com Pessoal'!N71+'Gastos com Pessoal'!N72)/'Gastos com Pessoal'!N7)</f>
        <v>3071.8501916666664</v>
      </c>
      <c r="N30" s="453"/>
    </row>
    <row r="31" spans="1:14" ht="11.25">
      <c r="A31" s="296" t="s">
        <v>183</v>
      </c>
      <c r="B31" s="297"/>
      <c r="C31" s="299">
        <f>IF('Gastos com Pessoal'!D7=0,0,'Gastos com Pessoal'!D101/'Gastos com Pessoal'!D7)</f>
        <v>315</v>
      </c>
      <c r="D31" s="299">
        <f>IF('Gastos com Pessoal'!E7=0,0,'Gastos com Pessoal'!E101/'Gastos com Pessoal'!E7)</f>
        <v>321.29999999999995</v>
      </c>
      <c r="E31" s="299">
        <f>IF('Gastos com Pessoal'!F7=0,0,'Gastos com Pessoal'!F101/'Gastos com Pessoal'!F7)</f>
        <v>327.68400000000003</v>
      </c>
      <c r="F31" s="299">
        <f>IF('Gastos com Pessoal'!G7=0,0,'Gastos com Pessoal'!G101/'Gastos com Pessoal'!G7)</f>
        <v>595</v>
      </c>
      <c r="G31" s="299">
        <f>IF('Gastos com Pessoal'!H7=0,0,'Gastos com Pessoal'!H101/'Gastos com Pessoal'!H7)</f>
        <v>606.9</v>
      </c>
      <c r="H31" s="299">
        <f>IF('Gastos com Pessoal'!I7=0,0,'Gastos com Pessoal'!I101/'Gastos com Pessoal'!I7)</f>
        <v>699.46800000000007</v>
      </c>
      <c r="I31" s="299">
        <f>IF('Gastos com Pessoal'!J7=0,0,'Gastos com Pessoal'!J101/'Gastos com Pessoal'!J7)</f>
        <v>1050</v>
      </c>
      <c r="J31" s="299">
        <f>IF('Gastos com Pessoal'!K7=0,0,'Gastos com Pessoal'!K101/'Gastos com Pessoal'!K7)</f>
        <v>1071</v>
      </c>
      <c r="K31" s="299">
        <f>IF('Gastos com Pessoal'!L7=0,0,'Gastos com Pessoal'!L101/'Gastos com Pessoal'!L7)</f>
        <v>1274.49</v>
      </c>
      <c r="L31" s="299">
        <f>IF('Gastos com Pessoal'!M7=0,0,'Gastos com Pessoal'!M101/'Gastos com Pessoal'!M7)</f>
        <v>1299.98225</v>
      </c>
      <c r="M31" s="299">
        <f>IF('Gastos com Pessoal'!N7=0,0,'Gastos com Pessoal'!N101/'Gastos com Pessoal'!N7)</f>
        <v>1325.9785000000002</v>
      </c>
    </row>
    <row r="32" spans="1:14" ht="11.25">
      <c r="A32" s="296" t="s">
        <v>111</v>
      </c>
      <c r="B32" s="297"/>
      <c r="C32" s="299">
        <f>(VN!C82-CMVMC!C18-FSE!F51-Investimento!C31)/Pressupostos!$C$16</f>
        <v>-1796.4437231097577</v>
      </c>
      <c r="D32" s="299">
        <f>(VN!D82-CMVMC!D18-FSE!G51-Investimento!D31)/Pressupostos!$C$16</f>
        <v>631.92228145646129</v>
      </c>
      <c r="E32" s="299">
        <f>(VN!E82-CMVMC!E18-FSE!H51-Investimento!E31)/Pressupostos!$C$16</f>
        <v>1941.5486339102001</v>
      </c>
      <c r="F32" s="299">
        <f>(VN!F82-CMVMC!F18-FSE!I51-Investimento!F31)/Pressupostos!$C$16</f>
        <v>3161.7835989790487</v>
      </c>
      <c r="G32" s="299">
        <f>(VN!G82-CMVMC!G18-FSE!J51-Investimento!G31)/Pressupostos!$C$16</f>
        <v>5490.7958211141849</v>
      </c>
      <c r="H32" s="299">
        <f>(VN!H82-CMVMC!H18-FSE!K51-Investimento!H31)/Pressupostos!$C$16</f>
        <v>8756.2023180202268</v>
      </c>
      <c r="I32" s="299">
        <f>(VN!I82-CMVMC!I18-FSE!L51-Investimento!I31)/Pressupostos!$C$16</f>
        <v>11573.551895853321</v>
      </c>
      <c r="J32" s="299">
        <f>(VN!J82-CMVMC!J18-FSE!M51-Investimento!J31)/Pressupostos!$C$16</f>
        <v>14308.755471649321</v>
      </c>
      <c r="K32" s="299">
        <f>(VN!K82-CMVMC!K18-FSE!N51-Investimento!K31)/Pressupostos!$C$16</f>
        <v>16229.782649341947</v>
      </c>
      <c r="L32" s="299">
        <f>(VN!L82-CMVMC!L18-FSE!O51-Investimento!L31)/Pressupostos!$C$16</f>
        <v>17363.147005040675</v>
      </c>
      <c r="M32" s="299">
        <f>(VN!M82-CMVMC!M18-FSE!P51-Investimento!M31)/Pressupostos!$C$16</f>
        <v>18385.044736172171</v>
      </c>
    </row>
    <row r="33" spans="10:10" ht="11.25">
      <c r="J33" s="158"/>
    </row>
    <row r="34" spans="10:10" ht="11.25">
      <c r="J34" s="158"/>
    </row>
    <row r="35" spans="10:10" ht="11.25">
      <c r="J35" s="158"/>
    </row>
    <row r="36" spans="10:10" ht="11.25">
      <c r="J36" s="158"/>
    </row>
    <row r="37" spans="10:10" ht="11.25">
      <c r="J37" s="158"/>
    </row>
  </sheetData>
  <sheetProtection password="8318" sheet="1"/>
  <mergeCells count="6">
    <mergeCell ref="A4:M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P54"/>
  <sheetViews>
    <sheetView showGridLines="0" showZeros="0" zoomScaleNormal="100" workbookViewId="0">
      <selection activeCell="H24" sqref="H24"/>
    </sheetView>
  </sheetViews>
  <sheetFormatPr defaultColWidth="8.85546875" defaultRowHeight="11.1"/>
  <cols>
    <col min="1" max="1" width="25.85546875" style="63" customWidth="1"/>
    <col min="2" max="2" width="6.42578125" style="63" customWidth="1"/>
    <col min="3" max="4" width="6.42578125" style="424" customWidth="1"/>
    <col min="5" max="5" width="8.140625" style="63" bestFit="1" customWidth="1"/>
    <col min="6" max="16" width="9.140625" style="63" bestFit="1" customWidth="1"/>
    <col min="17" max="19" width="11.42578125" style="63" customWidth="1"/>
    <col min="20" max="16384" width="8.85546875" style="63"/>
  </cols>
  <sheetData>
    <row r="1" spans="1:16" ht="12.75">
      <c r="A1" s="54"/>
      <c r="B1" s="54"/>
      <c r="C1" s="391"/>
      <c r="D1" s="391"/>
      <c r="E1" s="47"/>
      <c r="F1" s="47"/>
      <c r="G1" s="47"/>
      <c r="H1" s="47"/>
      <c r="I1" s="47"/>
      <c r="J1" s="47"/>
      <c r="K1" s="47"/>
      <c r="L1" s="47"/>
      <c r="M1" s="47"/>
      <c r="N1" s="47"/>
      <c r="O1" s="86" t="str">
        <f>+VN!L1</f>
        <v>Empresa:</v>
      </c>
      <c r="P1" s="87" t="str">
        <f>+Pressupostos!E1</f>
        <v>DUQUESA</v>
      </c>
    </row>
    <row r="2" spans="1:16" ht="11.25">
      <c r="A2" s="51"/>
      <c r="B2" s="51"/>
      <c r="C2" s="423"/>
      <c r="D2" s="423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52" t="str">
        <f>+Pressupostos!B9</f>
        <v>Euros</v>
      </c>
    </row>
    <row r="3" spans="1:16" ht="11.25">
      <c r="A3" s="51"/>
      <c r="B3" s="51"/>
      <c r="C3" s="423"/>
      <c r="D3" s="423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52"/>
    </row>
    <row r="4" spans="1:16" ht="15.75">
      <c r="A4" s="526" t="s">
        <v>184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526"/>
      <c r="O4" s="526"/>
      <c r="P4" s="526"/>
    </row>
    <row r="5" spans="1:16" ht="11.25">
      <c r="A5" s="54"/>
      <c r="B5" s="54"/>
      <c r="C5" s="391"/>
      <c r="D5" s="391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</row>
    <row r="6" spans="1:16" ht="11.25">
      <c r="A6" s="54"/>
      <c r="B6" s="54"/>
      <c r="C6" s="391"/>
      <c r="D6" s="391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</row>
    <row r="7" spans="1:16" ht="11.25">
      <c r="A7" s="494"/>
      <c r="B7" s="495"/>
      <c r="C7" s="495"/>
      <c r="D7" s="495"/>
      <c r="E7" s="496"/>
      <c r="F7" s="493">
        <f>+VN!C8</f>
        <v>2020</v>
      </c>
      <c r="G7" s="493">
        <f>+VN!D8</f>
        <v>2021</v>
      </c>
      <c r="H7" s="493">
        <f>+VN!E8</f>
        <v>2022</v>
      </c>
      <c r="I7" s="493">
        <f>+VN!F8</f>
        <v>2023</v>
      </c>
      <c r="J7" s="493">
        <f>+VN!G8</f>
        <v>2024</v>
      </c>
      <c r="K7" s="493">
        <f>+VN!H8</f>
        <v>2025</v>
      </c>
      <c r="L7" s="493">
        <f>+VN!I8</f>
        <v>2026</v>
      </c>
      <c r="M7" s="493">
        <f>+VN!J8</f>
        <v>2027</v>
      </c>
      <c r="N7" s="493">
        <f>+VN!K8</f>
        <v>2028</v>
      </c>
      <c r="O7" s="493">
        <f>+VN!L8</f>
        <v>2029</v>
      </c>
      <c r="P7" s="493">
        <f>+VN!M8</f>
        <v>2030</v>
      </c>
    </row>
    <row r="8" spans="1:16" ht="11.25">
      <c r="A8" s="88" t="s">
        <v>129</v>
      </c>
      <c r="B8" s="89"/>
      <c r="C8" s="495"/>
      <c r="D8" s="495"/>
      <c r="E8" s="91"/>
      <c r="F8" s="455">
        <v>12</v>
      </c>
      <c r="G8" s="455">
        <v>12</v>
      </c>
      <c r="H8" s="455">
        <v>12</v>
      </c>
      <c r="I8" s="455">
        <v>12</v>
      </c>
      <c r="J8" s="386">
        <f t="shared" ref="J8:P8" si="0">+I8</f>
        <v>12</v>
      </c>
      <c r="K8" s="386">
        <f t="shared" si="0"/>
        <v>12</v>
      </c>
      <c r="L8" s="386">
        <f t="shared" si="0"/>
        <v>12</v>
      </c>
      <c r="M8" s="386">
        <f t="shared" si="0"/>
        <v>12</v>
      </c>
      <c r="N8" s="386">
        <f t="shared" si="0"/>
        <v>12</v>
      </c>
      <c r="O8" s="386">
        <f t="shared" si="0"/>
        <v>12</v>
      </c>
      <c r="P8" s="386">
        <f t="shared" si="0"/>
        <v>12</v>
      </c>
    </row>
    <row r="9" spans="1:16" ht="11.25">
      <c r="A9" s="88" t="s">
        <v>185</v>
      </c>
      <c r="B9" s="89"/>
      <c r="C9" s="495"/>
      <c r="D9" s="495"/>
      <c r="E9" s="91"/>
      <c r="F9" s="92">
        <v>0</v>
      </c>
      <c r="G9" s="456">
        <v>0.01</v>
      </c>
      <c r="H9" s="456">
        <v>0.01</v>
      </c>
      <c r="I9" s="456">
        <v>0.01</v>
      </c>
      <c r="J9" s="456">
        <v>0.01</v>
      </c>
      <c r="K9" s="456">
        <v>0.01</v>
      </c>
      <c r="L9" s="456">
        <v>0.01</v>
      </c>
      <c r="M9" s="456">
        <v>0.01</v>
      </c>
      <c r="N9" s="456">
        <v>0.01</v>
      </c>
      <c r="O9" s="456">
        <v>0.01</v>
      </c>
      <c r="P9" s="456">
        <v>0.01</v>
      </c>
    </row>
    <row r="10" spans="1:16" ht="11.25">
      <c r="A10" s="54"/>
      <c r="B10" s="54"/>
      <c r="C10" s="391"/>
      <c r="D10" s="391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</row>
    <row r="11" spans="1:16" ht="11.25">
      <c r="A11" s="54"/>
      <c r="B11" s="54"/>
      <c r="C11" s="391"/>
      <c r="D11" s="391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</row>
    <row r="12" spans="1:16" ht="11.25">
      <c r="A12" s="494"/>
      <c r="B12" s="493" t="s">
        <v>186</v>
      </c>
      <c r="C12" s="493" t="s">
        <v>187</v>
      </c>
      <c r="D12" s="493" t="s">
        <v>188</v>
      </c>
      <c r="E12" s="493" t="s">
        <v>189</v>
      </c>
      <c r="F12" s="356">
        <f>+VN!C8</f>
        <v>2020</v>
      </c>
      <c r="G12" s="356">
        <f>+VN!D8</f>
        <v>2021</v>
      </c>
      <c r="H12" s="356">
        <f>+VN!E8</f>
        <v>2022</v>
      </c>
      <c r="I12" s="356">
        <f>+VN!F8</f>
        <v>2023</v>
      </c>
      <c r="J12" s="356">
        <f>+VN!G8</f>
        <v>2024</v>
      </c>
      <c r="K12" s="356">
        <f>+VN!H8</f>
        <v>2025</v>
      </c>
      <c r="L12" s="356">
        <f>+VN!I8</f>
        <v>2026</v>
      </c>
      <c r="M12" s="356">
        <f>+VN!J8</f>
        <v>2027</v>
      </c>
      <c r="N12" s="356">
        <f>+VN!K8</f>
        <v>2028</v>
      </c>
      <c r="O12" s="356">
        <f>+VN!L8</f>
        <v>2029</v>
      </c>
      <c r="P12" s="356">
        <f>+VN!M8</f>
        <v>2030</v>
      </c>
    </row>
    <row r="13" spans="1:16" ht="11.25">
      <c r="A13" s="93" t="s">
        <v>190</v>
      </c>
      <c r="B13" s="422">
        <f>Pressupostos!$B$21</f>
        <v>0.23</v>
      </c>
      <c r="C13" s="425">
        <f>100%-D13</f>
        <v>1</v>
      </c>
      <c r="D13" s="422"/>
      <c r="E13" s="417"/>
      <c r="F13" s="454">
        <f>E13*$F$8</f>
        <v>0</v>
      </c>
      <c r="G13" s="454">
        <f>+E13*$G$8*(1+$G$9)</f>
        <v>0</v>
      </c>
      <c r="H13" s="454">
        <f>+E13*(1+$G$9)*(1+$H$9)*H$8</f>
        <v>0</v>
      </c>
      <c r="I13" s="454">
        <f>+E13*(1+$G$9)*(1+$H$9)*(1+I$9)*I$8</f>
        <v>0</v>
      </c>
      <c r="J13" s="454">
        <f t="shared" ref="J13:P13" si="1">+I13*(1+J$9)</f>
        <v>0</v>
      </c>
      <c r="K13" s="454">
        <f t="shared" si="1"/>
        <v>0</v>
      </c>
      <c r="L13" s="454">
        <f t="shared" si="1"/>
        <v>0</v>
      </c>
      <c r="M13" s="454">
        <f t="shared" si="1"/>
        <v>0</v>
      </c>
      <c r="N13" s="454">
        <f t="shared" si="1"/>
        <v>0</v>
      </c>
      <c r="O13" s="454">
        <f t="shared" si="1"/>
        <v>0</v>
      </c>
      <c r="P13" s="454">
        <f t="shared" si="1"/>
        <v>0</v>
      </c>
    </row>
    <row r="14" spans="1:16" ht="11.25">
      <c r="A14" s="94" t="s">
        <v>191</v>
      </c>
      <c r="B14" s="421"/>
      <c r="C14" s="425"/>
      <c r="D14" s="421"/>
      <c r="E14" s="418"/>
      <c r="F14" s="419"/>
      <c r="G14" s="419"/>
      <c r="H14" s="419"/>
      <c r="I14" s="419"/>
      <c r="J14" s="419"/>
      <c r="K14" s="419"/>
      <c r="L14" s="419"/>
      <c r="M14" s="419"/>
      <c r="N14" s="419"/>
      <c r="O14" s="419"/>
      <c r="P14" s="419"/>
    </row>
    <row r="15" spans="1:16" ht="11.25">
      <c r="A15" s="304" t="s">
        <v>192</v>
      </c>
      <c r="B15" s="422">
        <f>Pressupostos!$B$21</f>
        <v>0.23</v>
      </c>
      <c r="C15" s="425">
        <f t="shared" ref="C15:C42" si="2">100%-D15</f>
        <v>1</v>
      </c>
      <c r="D15" s="422"/>
      <c r="E15" s="481">
        <f>100 + 69</f>
        <v>169</v>
      </c>
      <c r="F15" s="480">
        <f>E15*$F$8</f>
        <v>2028</v>
      </c>
      <c r="G15" s="480">
        <f>+E15*$G$8*(1+$G$9)</f>
        <v>2048.2800000000002</v>
      </c>
      <c r="H15" s="480">
        <f>+E15*(1+$G$9)*(1+$H$9)*H$8</f>
        <v>2068.7628</v>
      </c>
      <c r="I15" s="480">
        <f>+E15*(1+$G$9)*(1+$H$9)*(1+I$9)*I$8</f>
        <v>2089.4504280000001</v>
      </c>
      <c r="J15" s="480">
        <f t="shared" ref="J15:P15" si="3">+I15*(1+J$9)</f>
        <v>2110.3449322800002</v>
      </c>
      <c r="K15" s="480">
        <f t="shared" si="3"/>
        <v>2131.4483816028001</v>
      </c>
      <c r="L15" s="480">
        <f t="shared" si="3"/>
        <v>2152.7628654188279</v>
      </c>
      <c r="M15" s="480">
        <f t="shared" si="3"/>
        <v>2174.2904940730164</v>
      </c>
      <c r="N15" s="480">
        <f t="shared" si="3"/>
        <v>2196.0333990137465</v>
      </c>
      <c r="O15" s="480">
        <f t="shared" si="3"/>
        <v>2217.9937330038838</v>
      </c>
      <c r="P15" s="480">
        <f t="shared" si="3"/>
        <v>2240.1736703339225</v>
      </c>
    </row>
    <row r="16" spans="1:16" ht="11.25">
      <c r="A16" s="304" t="s">
        <v>193</v>
      </c>
      <c r="B16" s="422">
        <f>Pressupostos!$B$21</f>
        <v>0.23</v>
      </c>
      <c r="C16" s="425">
        <f t="shared" si="2"/>
        <v>1</v>
      </c>
      <c r="D16" s="422"/>
      <c r="E16" s="417">
        <v>100</v>
      </c>
      <c r="F16" s="454">
        <f>E16*$F$8</f>
        <v>1200</v>
      </c>
      <c r="G16" s="454">
        <f t="shared" ref="G16:G20" si="4">+E16*$G$8*(1+$G$9)</f>
        <v>1212</v>
      </c>
      <c r="H16" s="454">
        <f t="shared" ref="H16:H19" si="5">+E16*(1+$G$9)*(1+$H$9)*H$8</f>
        <v>1224.1200000000001</v>
      </c>
      <c r="I16" s="454">
        <f t="shared" ref="I16:I19" si="6">+E16*(1+$G$9)*(1+$H$9)*(1+I$9)*I$8</f>
        <v>1236.3612000000001</v>
      </c>
      <c r="J16" s="454">
        <f t="shared" ref="J16:P16" si="7">+I16*(1+J$9)</f>
        <v>1248.7248120000002</v>
      </c>
      <c r="K16" s="454">
        <f t="shared" si="7"/>
        <v>1261.2120601200002</v>
      </c>
      <c r="L16" s="454">
        <f t="shared" si="7"/>
        <v>1273.8241807212003</v>
      </c>
      <c r="M16" s="454">
        <f t="shared" si="7"/>
        <v>1286.5624225284123</v>
      </c>
      <c r="N16" s="454">
        <f t="shared" si="7"/>
        <v>1299.4280467536964</v>
      </c>
      <c r="O16" s="454">
        <f t="shared" si="7"/>
        <v>1312.4223272212334</v>
      </c>
      <c r="P16" s="454">
        <f t="shared" si="7"/>
        <v>1325.5465504934457</v>
      </c>
    </row>
    <row r="17" spans="1:16" ht="11.25">
      <c r="A17" s="304" t="s">
        <v>194</v>
      </c>
      <c r="B17" s="422">
        <f>Pressupostos!$B$21</f>
        <v>0.23</v>
      </c>
      <c r="C17" s="425">
        <f t="shared" si="2"/>
        <v>1</v>
      </c>
      <c r="D17" s="422"/>
      <c r="E17" s="417">
        <v>60</v>
      </c>
      <c r="F17" s="454">
        <f t="shared" ref="F17:F20" si="8">E17*$F$8</f>
        <v>720</v>
      </c>
      <c r="G17" s="454">
        <f t="shared" si="4"/>
        <v>727.2</v>
      </c>
      <c r="H17" s="454">
        <f t="shared" si="5"/>
        <v>734.47199999999998</v>
      </c>
      <c r="I17" s="454">
        <f t="shared" si="6"/>
        <v>741.81672000000003</v>
      </c>
      <c r="J17" s="454">
        <f t="shared" ref="J17:P17" si="9">+I17*(1+J$9)</f>
        <v>749.2348872</v>
      </c>
      <c r="K17" s="454">
        <f t="shared" si="9"/>
        <v>756.72723607199998</v>
      </c>
      <c r="L17" s="454">
        <f t="shared" si="9"/>
        <v>764.29450843272002</v>
      </c>
      <c r="M17" s="454">
        <f t="shared" si="9"/>
        <v>771.93745351704717</v>
      </c>
      <c r="N17" s="454">
        <f t="shared" si="9"/>
        <v>779.65682805221763</v>
      </c>
      <c r="O17" s="454">
        <f t="shared" si="9"/>
        <v>787.45339633273977</v>
      </c>
      <c r="P17" s="454">
        <f t="shared" si="9"/>
        <v>795.32793029606717</v>
      </c>
    </row>
    <row r="18" spans="1:16" ht="11.25">
      <c r="A18" s="304" t="s">
        <v>195</v>
      </c>
      <c r="B18" s="422">
        <f>Pressupostos!$B$21</f>
        <v>0.23</v>
      </c>
      <c r="C18" s="425">
        <f t="shared" si="2"/>
        <v>1</v>
      </c>
      <c r="D18" s="422"/>
      <c r="E18" s="417"/>
      <c r="F18" s="454">
        <f>E18*$F$8</f>
        <v>0</v>
      </c>
      <c r="G18" s="454">
        <f>+E18*$G$8*(1+$G$9)</f>
        <v>0</v>
      </c>
      <c r="H18" s="454">
        <f>+E18*(1+$G$9)*(1+$H$9)*H$8</f>
        <v>0</v>
      </c>
      <c r="I18" s="454">
        <f>+E18*(1+$G$9)*(1+$H$9)*(1+I$9)*I$8</f>
        <v>0</v>
      </c>
      <c r="J18" s="454">
        <f t="shared" ref="J18:P18" si="10">+I18*(1+J$9)</f>
        <v>0</v>
      </c>
      <c r="K18" s="454">
        <f t="shared" si="10"/>
        <v>0</v>
      </c>
      <c r="L18" s="454">
        <f t="shared" si="10"/>
        <v>0</v>
      </c>
      <c r="M18" s="454">
        <f t="shared" si="10"/>
        <v>0</v>
      </c>
      <c r="N18" s="454">
        <f t="shared" si="10"/>
        <v>0</v>
      </c>
      <c r="O18" s="454">
        <f t="shared" si="10"/>
        <v>0</v>
      </c>
      <c r="P18" s="454">
        <f t="shared" si="10"/>
        <v>0</v>
      </c>
    </row>
    <row r="19" spans="1:16" ht="11.25">
      <c r="A19" s="304" t="s">
        <v>196</v>
      </c>
      <c r="B19" s="422">
        <f>Pressupostos!$B$21</f>
        <v>0.23</v>
      </c>
      <c r="C19" s="425">
        <f t="shared" si="2"/>
        <v>1</v>
      </c>
      <c r="D19" s="422"/>
      <c r="E19" s="417"/>
      <c r="F19" s="454">
        <f t="shared" si="8"/>
        <v>0</v>
      </c>
      <c r="G19" s="454">
        <f t="shared" si="4"/>
        <v>0</v>
      </c>
      <c r="H19" s="454">
        <f t="shared" si="5"/>
        <v>0</v>
      </c>
      <c r="I19" s="454">
        <f t="shared" si="6"/>
        <v>0</v>
      </c>
      <c r="J19" s="454">
        <f t="shared" ref="J19:P19" si="11">+I19*(1+J$9)</f>
        <v>0</v>
      </c>
      <c r="K19" s="454">
        <f t="shared" si="11"/>
        <v>0</v>
      </c>
      <c r="L19" s="454">
        <f t="shared" si="11"/>
        <v>0</v>
      </c>
      <c r="M19" s="454">
        <f t="shared" si="11"/>
        <v>0</v>
      </c>
      <c r="N19" s="454">
        <f t="shared" si="11"/>
        <v>0</v>
      </c>
      <c r="O19" s="454">
        <f t="shared" si="11"/>
        <v>0</v>
      </c>
      <c r="P19" s="454">
        <f t="shared" si="11"/>
        <v>0</v>
      </c>
    </row>
    <row r="20" spans="1:16" ht="11.25">
      <c r="A20" s="304" t="s">
        <v>197</v>
      </c>
      <c r="B20" s="422">
        <f>Pressupostos!$B$21</f>
        <v>0.23</v>
      </c>
      <c r="C20" s="425">
        <f t="shared" si="2"/>
        <v>1</v>
      </c>
      <c r="D20" s="422"/>
      <c r="E20" s="417"/>
      <c r="F20" s="454">
        <f t="shared" si="8"/>
        <v>0</v>
      </c>
      <c r="G20" s="454">
        <f t="shared" si="4"/>
        <v>0</v>
      </c>
      <c r="H20" s="454">
        <v>500</v>
      </c>
      <c r="I20" s="454">
        <v>500</v>
      </c>
      <c r="J20" s="454">
        <f t="shared" ref="J20:L20" si="12">+I20*(1+J$9)</f>
        <v>505</v>
      </c>
      <c r="K20" s="454">
        <f t="shared" si="12"/>
        <v>510.05</v>
      </c>
      <c r="L20" s="454">
        <f t="shared" si="12"/>
        <v>515.15049999999997</v>
      </c>
      <c r="M20" s="454">
        <v>800</v>
      </c>
      <c r="N20" s="454">
        <v>800</v>
      </c>
      <c r="O20" s="454">
        <v>800</v>
      </c>
      <c r="P20" s="454">
        <v>850</v>
      </c>
    </row>
    <row r="21" spans="1:16" ht="11.25">
      <c r="A21" s="94" t="s">
        <v>198</v>
      </c>
      <c r="B21" s="421"/>
      <c r="C21" s="425"/>
      <c r="D21" s="421"/>
      <c r="E21" s="418"/>
      <c r="F21" s="419"/>
      <c r="G21" s="419"/>
      <c r="H21" s="419"/>
      <c r="I21" s="419"/>
      <c r="J21" s="419"/>
      <c r="K21" s="419"/>
      <c r="L21" s="419"/>
      <c r="M21" s="419"/>
      <c r="N21" s="419"/>
      <c r="O21" s="419"/>
      <c r="P21" s="419"/>
    </row>
    <row r="22" spans="1:16" ht="11.25">
      <c r="A22" s="304" t="s">
        <v>199</v>
      </c>
      <c r="B22" s="422">
        <f>Pressupostos!$B$21</f>
        <v>0.23</v>
      </c>
      <c r="C22" s="425">
        <f t="shared" si="2"/>
        <v>1</v>
      </c>
      <c r="D22" s="422"/>
      <c r="E22" s="417"/>
      <c r="F22" s="454">
        <f>E22*$F$8</f>
        <v>0</v>
      </c>
      <c r="G22" s="454">
        <f>+E22*$G$8*(1+$G$9)</f>
        <v>0</v>
      </c>
      <c r="H22" s="454">
        <f>+E22*(1+$G$9)*(1+$H$9)*H$8</f>
        <v>0</v>
      </c>
      <c r="I22" s="454">
        <f>+E22*(1+$G$9)*(1+$H$9)*(1+I$9)*I$8</f>
        <v>0</v>
      </c>
      <c r="J22" s="454">
        <f t="shared" ref="J22:P22" si="13">+I22*(1+J$9)</f>
        <v>0</v>
      </c>
      <c r="K22" s="454">
        <f t="shared" si="13"/>
        <v>0</v>
      </c>
      <c r="L22" s="454">
        <f t="shared" si="13"/>
        <v>0</v>
      </c>
      <c r="M22" s="454">
        <f t="shared" si="13"/>
        <v>0</v>
      </c>
      <c r="N22" s="454">
        <f t="shared" si="13"/>
        <v>0</v>
      </c>
      <c r="O22" s="454">
        <f t="shared" si="13"/>
        <v>0</v>
      </c>
      <c r="P22" s="454">
        <f t="shared" si="13"/>
        <v>0</v>
      </c>
    </row>
    <row r="23" spans="1:16" ht="11.25">
      <c r="A23" s="304" t="s">
        <v>200</v>
      </c>
      <c r="B23" s="422">
        <f>Pressupostos!$B$21</f>
        <v>0.23</v>
      </c>
      <c r="C23" s="425">
        <f t="shared" si="2"/>
        <v>1</v>
      </c>
      <c r="D23" s="422"/>
      <c r="E23" s="417"/>
      <c r="F23" s="454">
        <f>E23*$F$8</f>
        <v>0</v>
      </c>
      <c r="G23" s="454">
        <f>+E23*$G$8*(1+$G$9)</f>
        <v>0</v>
      </c>
      <c r="H23" s="454">
        <f>+E23*(1+$G$9)*(1+$H$9)*H$8</f>
        <v>0</v>
      </c>
      <c r="I23" s="454">
        <f>+E23*(1+$G$9)*(1+$H$9)*(1+I$9)*I$8</f>
        <v>0</v>
      </c>
      <c r="J23" s="454">
        <f t="shared" ref="J23:P23" si="14">+I23*(1+J$9)</f>
        <v>0</v>
      </c>
      <c r="K23" s="454">
        <f t="shared" si="14"/>
        <v>0</v>
      </c>
      <c r="L23" s="454">
        <f t="shared" si="14"/>
        <v>0</v>
      </c>
      <c r="M23" s="454">
        <f t="shared" si="14"/>
        <v>0</v>
      </c>
      <c r="N23" s="454">
        <f t="shared" si="14"/>
        <v>0</v>
      </c>
      <c r="O23" s="454">
        <f t="shared" si="14"/>
        <v>0</v>
      </c>
      <c r="P23" s="454">
        <f t="shared" si="14"/>
        <v>0</v>
      </c>
    </row>
    <row r="24" spans="1:16" ht="11.25">
      <c r="A24" s="304" t="s">
        <v>201</v>
      </c>
      <c r="B24" s="422">
        <f>Pressupostos!$B$21</f>
        <v>0.23</v>
      </c>
      <c r="C24" s="425">
        <f t="shared" si="2"/>
        <v>1</v>
      </c>
      <c r="D24" s="422"/>
      <c r="E24" s="417"/>
      <c r="F24" s="454">
        <v>73.38</v>
      </c>
      <c r="G24" s="454">
        <v>80</v>
      </c>
      <c r="H24" s="454">
        <v>100</v>
      </c>
      <c r="I24" s="454">
        <v>120</v>
      </c>
      <c r="J24" s="454">
        <v>130</v>
      </c>
      <c r="K24" s="454">
        <v>140</v>
      </c>
      <c r="L24" s="454">
        <v>150</v>
      </c>
      <c r="M24" s="454">
        <v>150</v>
      </c>
      <c r="N24" s="454">
        <v>150</v>
      </c>
      <c r="O24" s="454">
        <v>160</v>
      </c>
      <c r="P24" s="454">
        <v>160</v>
      </c>
    </row>
    <row r="25" spans="1:16" ht="11.25">
      <c r="A25" s="304" t="s">
        <v>202</v>
      </c>
      <c r="B25" s="422">
        <f>Pressupostos!$B$21</f>
        <v>0.23</v>
      </c>
      <c r="C25" s="425">
        <f t="shared" si="2"/>
        <v>1</v>
      </c>
      <c r="D25" s="422"/>
      <c r="E25" s="417"/>
      <c r="F25" s="454">
        <f>E25*$F$8</f>
        <v>0</v>
      </c>
      <c r="G25" s="454">
        <f>+E25*$G$8*(1+$G$9)</f>
        <v>0</v>
      </c>
      <c r="H25" s="454">
        <f>+E25*(1+$G$9)*(1+$H$9)*H$8</f>
        <v>0</v>
      </c>
      <c r="I25" s="454">
        <f>+E25*(1+$G$9)*(1+$H$9)*(1+I$9)*I$8</f>
        <v>0</v>
      </c>
      <c r="J25" s="454">
        <f t="shared" ref="J25:P25" si="15">+I25*(1+J$9)</f>
        <v>0</v>
      </c>
      <c r="K25" s="454">
        <f t="shared" si="15"/>
        <v>0</v>
      </c>
      <c r="L25" s="454">
        <f t="shared" si="15"/>
        <v>0</v>
      </c>
      <c r="M25" s="454">
        <f t="shared" si="15"/>
        <v>0</v>
      </c>
      <c r="N25" s="454">
        <f t="shared" si="15"/>
        <v>0</v>
      </c>
      <c r="O25" s="454">
        <f t="shared" si="15"/>
        <v>0</v>
      </c>
      <c r="P25" s="454">
        <f t="shared" si="15"/>
        <v>0</v>
      </c>
    </row>
    <row r="26" spans="1:16" ht="11.25">
      <c r="A26" s="94" t="s">
        <v>203</v>
      </c>
      <c r="B26" s="421"/>
      <c r="C26" s="425"/>
      <c r="D26" s="421"/>
      <c r="E26" s="418"/>
      <c r="F26" s="419"/>
      <c r="G26" s="419"/>
      <c r="H26" s="419"/>
      <c r="I26" s="419"/>
      <c r="J26" s="419"/>
      <c r="K26" s="419"/>
      <c r="L26" s="419"/>
      <c r="M26" s="419"/>
      <c r="N26" s="419"/>
      <c r="O26" s="419"/>
      <c r="P26" s="419"/>
    </row>
    <row r="27" spans="1:16" ht="11.25">
      <c r="A27" s="304" t="s">
        <v>204</v>
      </c>
      <c r="B27" s="422">
        <f>Pressupostos!$B$21</f>
        <v>0.23</v>
      </c>
      <c r="C27" s="425">
        <f t="shared" si="2"/>
        <v>1</v>
      </c>
      <c r="D27" s="422"/>
      <c r="E27" s="417">
        <v>480</v>
      </c>
      <c r="F27" s="454">
        <f>E27*$F$8</f>
        <v>5760</v>
      </c>
      <c r="G27" s="454">
        <f>+E27*$G$8*(1+$G$9)</f>
        <v>5817.6</v>
      </c>
      <c r="H27" s="454">
        <f>+E27*(1+$G$9)*(1+$H$9)*H$8</f>
        <v>5875.7759999999998</v>
      </c>
      <c r="I27" s="454">
        <f>+E27*(1+$G$9)*(1+$H$9)*(1+I$9)*I$8</f>
        <v>5934.5337600000003</v>
      </c>
      <c r="J27" s="454">
        <f t="shared" ref="J27:P27" si="16">+I27*(1+J$9)</f>
        <v>5993.8790976</v>
      </c>
      <c r="K27" s="454">
        <f t="shared" si="16"/>
        <v>6053.8178885759999</v>
      </c>
      <c r="L27" s="454">
        <f t="shared" si="16"/>
        <v>6114.3560674617602</v>
      </c>
      <c r="M27" s="454">
        <f t="shared" si="16"/>
        <v>6175.4996281363774</v>
      </c>
      <c r="N27" s="454">
        <f t="shared" si="16"/>
        <v>6237.2546244177411</v>
      </c>
      <c r="O27" s="454">
        <f t="shared" si="16"/>
        <v>6299.6271706619182</v>
      </c>
      <c r="P27" s="454">
        <f t="shared" si="16"/>
        <v>6362.6234423685373</v>
      </c>
    </row>
    <row r="28" spans="1:16" ht="11.25">
      <c r="A28" s="304" t="s">
        <v>205</v>
      </c>
      <c r="B28" s="422">
        <f>Pressupostos!$B$21</f>
        <v>0.23</v>
      </c>
      <c r="C28" s="425">
        <f t="shared" si="2"/>
        <v>1</v>
      </c>
      <c r="D28" s="422"/>
      <c r="E28" s="417"/>
      <c r="F28" s="454">
        <f>E28*$F$8</f>
        <v>0</v>
      </c>
      <c r="G28" s="454">
        <f>+E28*$G$8*(1+$G$9)</f>
        <v>0</v>
      </c>
      <c r="H28" s="454">
        <f>+E28*(1+$G$9)*(1+$H$9)*H$8</f>
        <v>0</v>
      </c>
      <c r="I28" s="454">
        <f>+E28*(1+$G$9)*(1+$H$9)*(1+I$9)*I$8</f>
        <v>0</v>
      </c>
      <c r="J28" s="454">
        <f t="shared" ref="J28:P28" si="17">+I28*(1+J$9)</f>
        <v>0</v>
      </c>
      <c r="K28" s="454">
        <f t="shared" si="17"/>
        <v>0</v>
      </c>
      <c r="L28" s="454">
        <f t="shared" si="17"/>
        <v>0</v>
      </c>
      <c r="M28" s="454">
        <f t="shared" si="17"/>
        <v>0</v>
      </c>
      <c r="N28" s="454">
        <f t="shared" si="17"/>
        <v>0</v>
      </c>
      <c r="O28" s="454">
        <f t="shared" si="17"/>
        <v>0</v>
      </c>
      <c r="P28" s="454">
        <f t="shared" si="17"/>
        <v>0</v>
      </c>
    </row>
    <row r="29" spans="1:16" ht="11.25">
      <c r="A29" s="304" t="s">
        <v>206</v>
      </c>
      <c r="B29" s="422">
        <v>0.06</v>
      </c>
      <c r="C29" s="425">
        <f t="shared" si="2"/>
        <v>1</v>
      </c>
      <c r="D29" s="422"/>
      <c r="E29" s="417">
        <f>30*1.9451</f>
        <v>58.353000000000002</v>
      </c>
      <c r="F29" s="454">
        <f>E29*$F$8</f>
        <v>700.23599999999999</v>
      </c>
      <c r="G29" s="454">
        <f>+E29*$G$8*(1+$G$9)</f>
        <v>707.23835999999994</v>
      </c>
      <c r="H29" s="454">
        <f>+E29*(1+$G$9)*(1+$H$9)*H$8</f>
        <v>714.31074360000002</v>
      </c>
      <c r="I29" s="454">
        <f>+E29*(1+$G$9)*(1+$H$9)*(1+I$9)*I$8</f>
        <v>721.45385103600006</v>
      </c>
      <c r="J29" s="454">
        <f t="shared" ref="J29:P29" si="18">+I29*(1+J$9)</f>
        <v>728.66838954636012</v>
      </c>
      <c r="K29" s="454">
        <f t="shared" si="18"/>
        <v>735.95507344182374</v>
      </c>
      <c r="L29" s="454">
        <f t="shared" si="18"/>
        <v>743.31462417624198</v>
      </c>
      <c r="M29" s="454">
        <f t="shared" si="18"/>
        <v>750.74777041800439</v>
      </c>
      <c r="N29" s="454">
        <f t="shared" si="18"/>
        <v>758.25524812218441</v>
      </c>
      <c r="O29" s="454">
        <f t="shared" si="18"/>
        <v>765.83780060340621</v>
      </c>
      <c r="P29" s="454">
        <f t="shared" si="18"/>
        <v>773.49617860944022</v>
      </c>
    </row>
    <row r="30" spans="1:16" ht="11.25">
      <c r="A30" s="94" t="s">
        <v>207</v>
      </c>
      <c r="B30" s="421"/>
      <c r="C30" s="425"/>
      <c r="D30" s="421"/>
      <c r="E30" s="418"/>
      <c r="F30" s="419"/>
      <c r="G30" s="419"/>
      <c r="H30" s="419"/>
      <c r="I30" s="419"/>
      <c r="J30" s="419"/>
      <c r="K30" s="419"/>
      <c r="L30" s="419"/>
      <c r="M30" s="419"/>
      <c r="N30" s="419"/>
      <c r="O30" s="419"/>
      <c r="P30" s="419"/>
    </row>
    <row r="31" spans="1:16" ht="11.25">
      <c r="A31" s="304" t="s">
        <v>208</v>
      </c>
      <c r="B31" s="422">
        <f>Pressupostos!$B$21</f>
        <v>0.23</v>
      </c>
      <c r="C31" s="425">
        <f t="shared" si="2"/>
        <v>1</v>
      </c>
      <c r="D31" s="422"/>
      <c r="E31" s="417"/>
      <c r="F31" s="454">
        <f>E31*$F$8</f>
        <v>0</v>
      </c>
      <c r="G31" s="454">
        <f>+E31*$G$8*(1+$G$9)</f>
        <v>0</v>
      </c>
      <c r="H31" s="454">
        <f>+E31*(1+$G$9)*(1+$H$9)*H$8</f>
        <v>0</v>
      </c>
      <c r="I31" s="454">
        <f>+E31*(1+$G$9)*(1+$H$9)*(1+I$9)*I$8</f>
        <v>0</v>
      </c>
      <c r="J31" s="454">
        <f t="shared" ref="J31:P31" si="19">+I31*(1+J$9)</f>
        <v>0</v>
      </c>
      <c r="K31" s="454">
        <f t="shared" si="19"/>
        <v>0</v>
      </c>
      <c r="L31" s="454">
        <f t="shared" si="19"/>
        <v>0</v>
      </c>
      <c r="M31" s="454">
        <f t="shared" si="19"/>
        <v>0</v>
      </c>
      <c r="N31" s="454">
        <f t="shared" si="19"/>
        <v>0</v>
      </c>
      <c r="O31" s="454">
        <f t="shared" si="19"/>
        <v>0</v>
      </c>
      <c r="P31" s="454">
        <f t="shared" si="19"/>
        <v>0</v>
      </c>
    </row>
    <row r="32" spans="1:16" ht="11.25">
      <c r="A32" s="304" t="s">
        <v>209</v>
      </c>
      <c r="B32" s="422">
        <f>Pressupostos!$B$21</f>
        <v>0.23</v>
      </c>
      <c r="C32" s="425">
        <f t="shared" si="2"/>
        <v>1</v>
      </c>
      <c r="D32" s="422"/>
      <c r="E32" s="417"/>
      <c r="F32" s="454">
        <f>E32*$F$8</f>
        <v>0</v>
      </c>
      <c r="G32" s="454">
        <f>+E32*$G$8*(1+$G$9)</f>
        <v>0</v>
      </c>
      <c r="H32" s="454">
        <f>+E32*(1+$G$9)*(1+$H$9)*H$8</f>
        <v>0</v>
      </c>
      <c r="I32" s="454">
        <f>+E32*(1+$G$9)*(1+$H$9)*(1+I$9)*I$8</f>
        <v>0</v>
      </c>
      <c r="J32" s="454">
        <f t="shared" ref="J32:P32" si="20">+I32*(1+J$9)</f>
        <v>0</v>
      </c>
      <c r="K32" s="454">
        <f t="shared" si="20"/>
        <v>0</v>
      </c>
      <c r="L32" s="454">
        <f t="shared" si="20"/>
        <v>0</v>
      </c>
      <c r="M32" s="454">
        <f t="shared" si="20"/>
        <v>0</v>
      </c>
      <c r="N32" s="454">
        <f t="shared" si="20"/>
        <v>0</v>
      </c>
      <c r="O32" s="454">
        <f t="shared" si="20"/>
        <v>0</v>
      </c>
      <c r="P32" s="454">
        <f t="shared" si="20"/>
        <v>0</v>
      </c>
    </row>
    <row r="33" spans="1:16" ht="11.25">
      <c r="A33" s="304" t="s">
        <v>210</v>
      </c>
      <c r="B33" s="422">
        <f>Pressupostos!$B$21</f>
        <v>0.23</v>
      </c>
      <c r="C33" s="425">
        <f t="shared" si="2"/>
        <v>1</v>
      </c>
      <c r="D33" s="422"/>
      <c r="E33" s="417"/>
      <c r="F33" s="454">
        <f>E33*$F$8</f>
        <v>0</v>
      </c>
      <c r="G33" s="454">
        <f>+E33*$G$8*(1+$G$9)</f>
        <v>0</v>
      </c>
      <c r="H33" s="454">
        <f>+E33*(1+$G$9)*(1+$H$9)*H$8</f>
        <v>0</v>
      </c>
      <c r="I33" s="454">
        <f>+E33*(1+$G$9)*(1+$H$9)*(1+I$9)*I$8</f>
        <v>0</v>
      </c>
      <c r="J33" s="454">
        <f t="shared" ref="J33:P33" si="21">+I33*(1+J$9)</f>
        <v>0</v>
      </c>
      <c r="K33" s="454">
        <f t="shared" si="21"/>
        <v>0</v>
      </c>
      <c r="L33" s="454">
        <f t="shared" si="21"/>
        <v>0</v>
      </c>
      <c r="M33" s="454">
        <f t="shared" si="21"/>
        <v>0</v>
      </c>
      <c r="N33" s="454">
        <f t="shared" si="21"/>
        <v>0</v>
      </c>
      <c r="O33" s="454">
        <f t="shared" si="21"/>
        <v>0</v>
      </c>
      <c r="P33" s="454">
        <f t="shared" si="21"/>
        <v>0</v>
      </c>
    </row>
    <row r="34" spans="1:16" ht="11.25">
      <c r="A34" s="305" t="s">
        <v>211</v>
      </c>
      <c r="B34" s="421"/>
      <c r="C34" s="425"/>
      <c r="D34" s="421"/>
      <c r="E34" s="418"/>
      <c r="F34" s="419"/>
      <c r="G34" s="419"/>
      <c r="H34" s="419"/>
      <c r="I34" s="419"/>
      <c r="J34" s="419"/>
      <c r="K34" s="419"/>
      <c r="L34" s="419"/>
      <c r="M34" s="419"/>
      <c r="N34" s="419"/>
      <c r="O34" s="419"/>
      <c r="P34" s="419"/>
    </row>
    <row r="35" spans="1:16" ht="11.25">
      <c r="A35" s="304" t="s">
        <v>212</v>
      </c>
      <c r="B35" s="422">
        <f>Pressupostos!$B$21</f>
        <v>0.23</v>
      </c>
      <c r="C35" s="425">
        <f t="shared" si="2"/>
        <v>1</v>
      </c>
      <c r="D35" s="422"/>
      <c r="E35" s="417">
        <v>1200</v>
      </c>
      <c r="F35" s="454">
        <f t="shared" ref="F35:F42" si="22">E35*$F$8</f>
        <v>14400</v>
      </c>
      <c r="G35" s="454">
        <f t="shared" ref="G35:G42" si="23">+E35*$G$8*(1+$G$9)</f>
        <v>14544</v>
      </c>
      <c r="H35" s="454">
        <f t="shared" ref="H35:H42" si="24">+E35*(1+$G$9)*(1+$H$9)*H$8</f>
        <v>14689.440000000002</v>
      </c>
      <c r="I35" s="454">
        <f t="shared" ref="I35:I42" si="25">+E35*(1+$G$9)*(1+$H$9)*(1+I$9)*I$8</f>
        <v>14836.3344</v>
      </c>
      <c r="J35" s="454">
        <f t="shared" ref="J35:P35" si="26">+I35*(1+J$9)</f>
        <v>14984.697743999999</v>
      </c>
      <c r="K35" s="454">
        <f t="shared" si="26"/>
        <v>15134.544721439999</v>
      </c>
      <c r="L35" s="454">
        <f t="shared" si="26"/>
        <v>15285.8901686544</v>
      </c>
      <c r="M35" s="454">
        <f t="shared" si="26"/>
        <v>15438.749070340944</v>
      </c>
      <c r="N35" s="454">
        <f t="shared" si="26"/>
        <v>15593.136561044354</v>
      </c>
      <c r="O35" s="454">
        <f t="shared" si="26"/>
        <v>15749.067926654798</v>
      </c>
      <c r="P35" s="454">
        <f t="shared" si="26"/>
        <v>15906.558605921346</v>
      </c>
    </row>
    <row r="36" spans="1:16" ht="11.25">
      <c r="A36" s="304" t="s">
        <v>213</v>
      </c>
      <c r="B36" s="422">
        <f>Pressupostos!$B$21</f>
        <v>0.23</v>
      </c>
      <c r="C36" s="425">
        <f t="shared" si="2"/>
        <v>1</v>
      </c>
      <c r="D36" s="422"/>
      <c r="E36" s="417">
        <v>100</v>
      </c>
      <c r="F36" s="454">
        <f t="shared" si="22"/>
        <v>1200</v>
      </c>
      <c r="G36" s="454">
        <f t="shared" si="23"/>
        <v>1212</v>
      </c>
      <c r="H36" s="454">
        <f t="shared" si="24"/>
        <v>1224.1200000000001</v>
      </c>
      <c r="I36" s="454">
        <f t="shared" si="25"/>
        <v>1236.3612000000001</v>
      </c>
      <c r="J36" s="454">
        <f t="shared" ref="J36:P36" si="27">+I36*(1+J$9)</f>
        <v>1248.7248120000002</v>
      </c>
      <c r="K36" s="454">
        <f t="shared" si="27"/>
        <v>1261.2120601200002</v>
      </c>
      <c r="L36" s="454">
        <f t="shared" si="27"/>
        <v>1273.8241807212003</v>
      </c>
      <c r="M36" s="454">
        <f t="shared" si="27"/>
        <v>1286.5624225284123</v>
      </c>
      <c r="N36" s="454">
        <f t="shared" si="27"/>
        <v>1299.4280467536964</v>
      </c>
      <c r="O36" s="454">
        <f t="shared" si="27"/>
        <v>1312.4223272212334</v>
      </c>
      <c r="P36" s="454">
        <f t="shared" si="27"/>
        <v>1325.5465504934457</v>
      </c>
    </row>
    <row r="37" spans="1:16" ht="11.25">
      <c r="A37" s="304" t="s">
        <v>214</v>
      </c>
      <c r="B37" s="422">
        <v>0</v>
      </c>
      <c r="C37" s="425">
        <f t="shared" si="2"/>
        <v>1</v>
      </c>
      <c r="D37" s="422"/>
      <c r="E37" s="417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</row>
    <row r="38" spans="1:16" ht="11.25">
      <c r="A38" s="304" t="s">
        <v>215</v>
      </c>
      <c r="B38" s="422">
        <f>Pressupostos!$B$21</f>
        <v>0.23</v>
      </c>
      <c r="C38" s="425">
        <f t="shared" si="2"/>
        <v>1</v>
      </c>
      <c r="D38" s="422"/>
      <c r="E38" s="417"/>
      <c r="F38" s="454">
        <f t="shared" si="22"/>
        <v>0</v>
      </c>
      <c r="G38" s="454">
        <f t="shared" si="23"/>
        <v>0</v>
      </c>
      <c r="H38" s="454">
        <f t="shared" si="24"/>
        <v>0</v>
      </c>
      <c r="I38" s="454">
        <f t="shared" si="25"/>
        <v>0</v>
      </c>
      <c r="J38" s="454">
        <f t="shared" ref="J38:P38" si="28">+I38*(1+J$9)</f>
        <v>0</v>
      </c>
      <c r="K38" s="454">
        <f t="shared" si="28"/>
        <v>0</v>
      </c>
      <c r="L38" s="454">
        <f t="shared" si="28"/>
        <v>0</v>
      </c>
      <c r="M38" s="454">
        <f t="shared" si="28"/>
        <v>0</v>
      </c>
      <c r="N38" s="454">
        <f t="shared" si="28"/>
        <v>0</v>
      </c>
      <c r="O38" s="454">
        <f t="shared" si="28"/>
        <v>0</v>
      </c>
      <c r="P38" s="454">
        <f t="shared" si="28"/>
        <v>0</v>
      </c>
    </row>
    <row r="39" spans="1:16" ht="11.25">
      <c r="A39" s="304" t="s">
        <v>216</v>
      </c>
      <c r="B39" s="422">
        <f>Pressupostos!$B$21</f>
        <v>0.23</v>
      </c>
      <c r="C39" s="425">
        <f t="shared" si="2"/>
        <v>1</v>
      </c>
      <c r="D39" s="422"/>
      <c r="E39" s="417"/>
      <c r="F39" s="454">
        <f t="shared" si="22"/>
        <v>0</v>
      </c>
      <c r="G39" s="454">
        <f t="shared" si="23"/>
        <v>0</v>
      </c>
      <c r="H39" s="454">
        <f t="shared" si="24"/>
        <v>0</v>
      </c>
      <c r="I39" s="454">
        <f t="shared" si="25"/>
        <v>0</v>
      </c>
      <c r="J39" s="454">
        <f t="shared" ref="J39:P39" si="29">+I39*(1+J$9)</f>
        <v>0</v>
      </c>
      <c r="K39" s="454">
        <f t="shared" si="29"/>
        <v>0</v>
      </c>
      <c r="L39" s="454">
        <f t="shared" si="29"/>
        <v>0</v>
      </c>
      <c r="M39" s="454">
        <f t="shared" si="29"/>
        <v>0</v>
      </c>
      <c r="N39" s="454">
        <f t="shared" si="29"/>
        <v>0</v>
      </c>
      <c r="O39" s="454">
        <f t="shared" si="29"/>
        <v>0</v>
      </c>
      <c r="P39" s="454">
        <f t="shared" si="29"/>
        <v>0</v>
      </c>
    </row>
    <row r="40" spans="1:16" ht="11.25">
      <c r="A40" s="304" t="s">
        <v>217</v>
      </c>
      <c r="B40" s="422">
        <f>Pressupostos!$B$21</f>
        <v>0.23</v>
      </c>
      <c r="C40" s="425">
        <f t="shared" si="2"/>
        <v>1</v>
      </c>
      <c r="D40" s="422"/>
      <c r="E40" s="417"/>
      <c r="F40" s="454">
        <f t="shared" si="22"/>
        <v>0</v>
      </c>
      <c r="G40" s="454"/>
      <c r="H40" s="454">
        <f t="shared" si="24"/>
        <v>0</v>
      </c>
      <c r="I40" s="454">
        <f t="shared" si="25"/>
        <v>0</v>
      </c>
      <c r="J40" s="454">
        <f t="shared" ref="J40:P40" si="30">+I40*(1+J$9)</f>
        <v>0</v>
      </c>
      <c r="K40" s="454">
        <f t="shared" si="30"/>
        <v>0</v>
      </c>
      <c r="L40" s="454">
        <f t="shared" si="30"/>
        <v>0</v>
      </c>
      <c r="M40" s="454">
        <f t="shared" si="30"/>
        <v>0</v>
      </c>
      <c r="N40" s="454">
        <f t="shared" si="30"/>
        <v>0</v>
      </c>
      <c r="O40" s="454">
        <f t="shared" si="30"/>
        <v>0</v>
      </c>
      <c r="P40" s="454">
        <f t="shared" si="30"/>
        <v>0</v>
      </c>
    </row>
    <row r="41" spans="1:16" ht="11.25">
      <c r="A41" s="304" t="s">
        <v>218</v>
      </c>
      <c r="B41" s="422">
        <f>Pressupostos!$B$21</f>
        <v>0.23</v>
      </c>
      <c r="C41" s="425">
        <f t="shared" si="2"/>
        <v>1</v>
      </c>
      <c r="D41" s="422"/>
      <c r="E41" s="417">
        <v>300</v>
      </c>
      <c r="F41" s="454">
        <f>E41*$F$8 +120</f>
        <v>3720</v>
      </c>
      <c r="G41" s="454">
        <f>+E41*$G$8*(1+$G$9)+ 160</f>
        <v>3796</v>
      </c>
      <c r="H41" s="454">
        <f>+E41*(1+$G$9)*(1+$H$9)*H$8 + 180</f>
        <v>3852.3600000000006</v>
      </c>
      <c r="I41" s="454">
        <f t="shared" si="25"/>
        <v>3709.0835999999999</v>
      </c>
      <c r="J41" s="454">
        <f>+I41*(1+J$9) + 200</f>
        <v>3946.1744359999998</v>
      </c>
      <c r="K41" s="454">
        <f>+J41*(1+K$9) + 220</f>
        <v>4205.6361803599993</v>
      </c>
      <c r="L41" s="454">
        <f>+K41*(1+L$9) + 240</f>
        <v>4487.6925421635997</v>
      </c>
      <c r="M41" s="454">
        <f>+L41*(1+M$9) + 260</f>
        <v>4792.5694675852355</v>
      </c>
      <c r="N41" s="454">
        <f>+M41*(1+N$9) + 280</f>
        <v>5120.4951622610879</v>
      </c>
      <c r="O41" s="454">
        <f>+N41*(1+O$9) + 300</f>
        <v>5471.7001138836986</v>
      </c>
      <c r="P41" s="454">
        <f>+O41*(1+P$9) + 300</f>
        <v>5826.4171150225357</v>
      </c>
    </row>
    <row r="42" spans="1:16" ht="11.25">
      <c r="A42" s="94" t="s">
        <v>219</v>
      </c>
      <c r="B42" s="422">
        <f>Pressupostos!$B$21</f>
        <v>0.23</v>
      </c>
      <c r="C42" s="425">
        <f t="shared" si="2"/>
        <v>1</v>
      </c>
      <c r="D42" s="422"/>
      <c r="E42" s="417"/>
      <c r="F42" s="454">
        <f t="shared" si="22"/>
        <v>0</v>
      </c>
      <c r="G42" s="454">
        <f t="shared" si="23"/>
        <v>0</v>
      </c>
      <c r="H42" s="454">
        <f t="shared" si="24"/>
        <v>0</v>
      </c>
      <c r="I42" s="454">
        <f t="shared" si="25"/>
        <v>0</v>
      </c>
      <c r="J42" s="454">
        <f t="shared" ref="J42:P42" si="31">+I42*(1+J$9)</f>
        <v>0</v>
      </c>
      <c r="K42" s="454">
        <f t="shared" si="31"/>
        <v>0</v>
      </c>
      <c r="L42" s="454">
        <f t="shared" si="31"/>
        <v>0</v>
      </c>
      <c r="M42" s="454">
        <f t="shared" si="31"/>
        <v>0</v>
      </c>
      <c r="N42" s="454">
        <f t="shared" si="31"/>
        <v>0</v>
      </c>
      <c r="O42" s="454">
        <f t="shared" si="31"/>
        <v>0</v>
      </c>
      <c r="P42" s="454">
        <f t="shared" si="31"/>
        <v>0</v>
      </c>
    </row>
    <row r="43" spans="1:16" ht="15" customHeight="1" thickBot="1">
      <c r="A43" s="548" t="s">
        <v>220</v>
      </c>
      <c r="B43" s="549"/>
      <c r="C43" s="549"/>
      <c r="D43" s="549"/>
      <c r="E43" s="550"/>
      <c r="F43" s="420">
        <f t="shared" ref="F43:P43" si="32">SUM(F13:F42)</f>
        <v>29801.616000000002</v>
      </c>
      <c r="G43" s="420">
        <f t="shared" si="32"/>
        <v>30144.318360000001</v>
      </c>
      <c r="H43" s="420">
        <f>SUM(H13:H42)</f>
        <v>30983.3615436</v>
      </c>
      <c r="I43" s="420">
        <f>SUM(I13:I42)</f>
        <v>31125.395159036001</v>
      </c>
      <c r="J43" s="420">
        <f>SUM(J13:J42)</f>
        <v>31645.449110626359</v>
      </c>
      <c r="K43" s="420">
        <f>SUM(K13:K42)</f>
        <v>32190.603601732626</v>
      </c>
      <c r="L43" s="420">
        <f>SUM(L13:L42)</f>
        <v>32761.109637749949</v>
      </c>
      <c r="M43" s="420">
        <f t="shared" si="32"/>
        <v>33626.91872912745</v>
      </c>
      <c r="N43" s="420">
        <f t="shared" si="32"/>
        <v>34233.687916418727</v>
      </c>
      <c r="O43" s="420">
        <f t="shared" si="32"/>
        <v>34876.524795582911</v>
      </c>
      <c r="P43" s="420">
        <f t="shared" si="32"/>
        <v>35565.690043538743</v>
      </c>
    </row>
    <row r="44" spans="1:16" ht="12" thickTop="1">
      <c r="A44" s="54"/>
      <c r="B44" s="54"/>
      <c r="C44" s="391"/>
      <c r="D44" s="391"/>
      <c r="E44" s="54"/>
      <c r="F44" s="357"/>
      <c r="G44" s="357"/>
      <c r="H44" s="357"/>
      <c r="I44" s="357"/>
      <c r="J44" s="357"/>
      <c r="K44" s="357"/>
      <c r="L44" s="357"/>
      <c r="M44" s="357"/>
      <c r="N44" s="357"/>
      <c r="O44" s="357"/>
      <c r="P44" s="357"/>
    </row>
    <row r="45" spans="1:16" ht="14.25" customHeight="1" thickBot="1">
      <c r="A45" s="555" t="s">
        <v>221</v>
      </c>
      <c r="B45" s="556"/>
      <c r="C45" s="556"/>
      <c r="D45" s="556"/>
      <c r="E45" s="354"/>
      <c r="F45" s="358">
        <f t="shared" ref="F45:P45" si="33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29801.616000000002</v>
      </c>
      <c r="G45" s="358">
        <f t="shared" si="33"/>
        <v>30144.318360000001</v>
      </c>
      <c r="H45" s="358">
        <f t="shared" si="33"/>
        <v>30983.3615436</v>
      </c>
      <c r="I45" s="358">
        <f t="shared" si="33"/>
        <v>31125.395159036001</v>
      </c>
      <c r="J45" s="358">
        <f t="shared" si="33"/>
        <v>31645.449110626359</v>
      </c>
      <c r="K45" s="358">
        <f t="shared" si="33"/>
        <v>32190.603601732626</v>
      </c>
      <c r="L45" s="358">
        <f t="shared" si="33"/>
        <v>32761.109637749949</v>
      </c>
      <c r="M45" s="358">
        <f t="shared" si="33"/>
        <v>33626.91872912745</v>
      </c>
      <c r="N45" s="358">
        <f t="shared" si="33"/>
        <v>34233.687916418727</v>
      </c>
      <c r="O45" s="358">
        <f t="shared" si="33"/>
        <v>34876.524795582911</v>
      </c>
      <c r="P45" s="358">
        <f t="shared" si="33"/>
        <v>35565.690043538743</v>
      </c>
    </row>
    <row r="46" spans="1:16" ht="12" thickTop="1">
      <c r="A46" s="355"/>
      <c r="B46" s="355"/>
      <c r="C46" s="391"/>
      <c r="D46" s="391"/>
      <c r="E46" s="355"/>
      <c r="F46" s="357"/>
      <c r="G46" s="357"/>
      <c r="H46" s="357"/>
      <c r="I46" s="357"/>
      <c r="J46" s="357"/>
      <c r="K46" s="357"/>
      <c r="L46" s="357"/>
      <c r="M46" s="357"/>
      <c r="N46" s="357"/>
      <c r="O46" s="357"/>
      <c r="P46" s="357"/>
    </row>
    <row r="47" spans="1:16" ht="12" thickBot="1">
      <c r="A47" s="555" t="s">
        <v>222</v>
      </c>
      <c r="B47" s="556"/>
      <c r="C47" s="556"/>
      <c r="D47" s="556"/>
      <c r="E47" s="354"/>
      <c r="F47" s="358">
        <f t="shared" ref="F47:P47" si="34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58">
        <f t="shared" si="34"/>
        <v>0</v>
      </c>
      <c r="H47" s="358">
        <f t="shared" si="34"/>
        <v>0</v>
      </c>
      <c r="I47" s="358">
        <f t="shared" si="34"/>
        <v>0</v>
      </c>
      <c r="J47" s="358">
        <f t="shared" si="34"/>
        <v>0</v>
      </c>
      <c r="K47" s="358">
        <f t="shared" si="34"/>
        <v>0</v>
      </c>
      <c r="L47" s="358">
        <f t="shared" si="34"/>
        <v>0</v>
      </c>
      <c r="M47" s="358">
        <f t="shared" si="34"/>
        <v>0</v>
      </c>
      <c r="N47" s="358">
        <f t="shared" si="34"/>
        <v>0</v>
      </c>
      <c r="O47" s="358">
        <f t="shared" si="34"/>
        <v>0</v>
      </c>
      <c r="P47" s="358">
        <f t="shared" si="34"/>
        <v>0</v>
      </c>
    </row>
    <row r="48" spans="1:16" ht="12" thickTop="1">
      <c r="A48" s="355"/>
      <c r="B48" s="355"/>
      <c r="C48" s="391"/>
      <c r="D48" s="391"/>
      <c r="E48" s="355"/>
      <c r="F48" s="357"/>
      <c r="G48" s="357"/>
      <c r="H48" s="357"/>
      <c r="I48" s="357"/>
      <c r="J48" s="357"/>
      <c r="K48" s="357"/>
      <c r="L48" s="357"/>
      <c r="M48" s="357"/>
      <c r="N48" s="357"/>
      <c r="O48" s="357"/>
      <c r="P48" s="357"/>
    </row>
    <row r="49" spans="1:16" ht="12" thickBot="1">
      <c r="A49" s="555" t="s">
        <v>223</v>
      </c>
      <c r="B49" s="556"/>
      <c r="C49" s="556"/>
      <c r="D49" s="556"/>
      <c r="E49" s="354"/>
      <c r="F49" s="358">
        <f t="shared" ref="F49:P49" si="35">F45+F47</f>
        <v>29801.616000000002</v>
      </c>
      <c r="G49" s="358">
        <f t="shared" si="35"/>
        <v>30144.318360000001</v>
      </c>
      <c r="H49" s="358">
        <f>H45+H47</f>
        <v>30983.3615436</v>
      </c>
      <c r="I49" s="358">
        <f>I45+I47</f>
        <v>31125.395159036001</v>
      </c>
      <c r="J49" s="358">
        <f>J45+J47</f>
        <v>31645.449110626359</v>
      </c>
      <c r="K49" s="358">
        <f>K45+K47</f>
        <v>32190.603601732626</v>
      </c>
      <c r="L49" s="358">
        <f>L45+L47</f>
        <v>32761.109637749949</v>
      </c>
      <c r="M49" s="358">
        <f t="shared" si="35"/>
        <v>33626.91872912745</v>
      </c>
      <c r="N49" s="358">
        <f t="shared" si="35"/>
        <v>34233.687916418727</v>
      </c>
      <c r="O49" s="358">
        <f t="shared" si="35"/>
        <v>34876.524795582911</v>
      </c>
      <c r="P49" s="358">
        <f t="shared" si="35"/>
        <v>35565.690043538743</v>
      </c>
    </row>
    <row r="50" spans="1:16" ht="12" thickTop="1">
      <c r="A50" s="355"/>
      <c r="B50" s="355"/>
      <c r="C50" s="391"/>
      <c r="D50" s="391"/>
      <c r="E50" s="355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</row>
    <row r="51" spans="1:16" ht="12" thickBot="1">
      <c r="A51" s="558" t="s">
        <v>111</v>
      </c>
      <c r="B51" s="558"/>
      <c r="C51" s="558"/>
      <c r="D51" s="558"/>
      <c r="E51" s="558"/>
      <c r="F51" s="359">
        <f t="shared" ref="F51:P51" si="36">(F13*$B$13)+(F15*$B$15)+(F16*$B$16)+(F17*$B$17)+(F18*$B$18)+(F19*$B$19)+(F20*$B$20)+(F22*$B$22)+(F23*$B$23)+(F24*$B$24)+(F25*$B$25)+(F27*$B$27)+(F29*$B$29)+(F36*$B$36)+(F41*$B$41)</f>
        <v>3423.3315600000001</v>
      </c>
      <c r="G51" s="359">
        <f t="shared" si="36"/>
        <v>3467.8427015999996</v>
      </c>
      <c r="H51" s="359">
        <f t="shared" si="36"/>
        <v>3626.1691286160003</v>
      </c>
      <c r="I51" s="359">
        <f t="shared" si="36"/>
        <v>3623.8368199021606</v>
      </c>
      <c r="J51" s="359">
        <f t="shared" si="36"/>
        <v>3708.0991881011823</v>
      </c>
      <c r="K51" s="359">
        <f t="shared" si="36"/>
        <v>3797.781179982193</v>
      </c>
      <c r="L51" s="359">
        <f t="shared" si="36"/>
        <v>3892.9369917820154</v>
      </c>
      <c r="M51" s="359">
        <f t="shared" si="36"/>
        <v>4055.6519005498353</v>
      </c>
      <c r="N51" s="359">
        <f t="shared" si="36"/>
        <v>4158.4234195553345</v>
      </c>
      <c r="O51" s="359">
        <f t="shared" si="36"/>
        <v>4269.1226537508874</v>
      </c>
      <c r="P51" s="359">
        <f t="shared" si="36"/>
        <v>4390.1058802883963</v>
      </c>
    </row>
    <row r="52" spans="1:16" ht="12" thickTop="1">
      <c r="A52" s="355"/>
      <c r="B52" s="355"/>
      <c r="C52" s="391"/>
      <c r="D52" s="391"/>
      <c r="E52" s="355"/>
      <c r="F52" s="357"/>
      <c r="G52" s="357"/>
      <c r="H52" s="357"/>
      <c r="I52" s="357"/>
      <c r="J52" s="357"/>
      <c r="K52" s="357"/>
      <c r="L52" s="357"/>
      <c r="M52" s="357"/>
      <c r="N52" s="357"/>
      <c r="O52" s="357"/>
      <c r="P52" s="357"/>
    </row>
    <row r="53" spans="1:16" ht="12" thickBot="1">
      <c r="A53" s="557" t="s">
        <v>224</v>
      </c>
      <c r="B53" s="557"/>
      <c r="C53" s="557"/>
      <c r="D53" s="557"/>
      <c r="E53" s="557"/>
      <c r="F53" s="360">
        <f t="shared" ref="F53:P53" si="37">F43+F51</f>
        <v>33224.947560000001</v>
      </c>
      <c r="G53" s="360">
        <f t="shared" si="37"/>
        <v>33612.161061600003</v>
      </c>
      <c r="H53" s="360">
        <f>H43+H51</f>
        <v>34609.530672216002</v>
      </c>
      <c r="I53" s="360">
        <f>I43+I51</f>
        <v>34749.231978938158</v>
      </c>
      <c r="J53" s="360">
        <f>J43+J51</f>
        <v>35353.548298727539</v>
      </c>
      <c r="K53" s="360">
        <f>K43+K51</f>
        <v>35988.38478171482</v>
      </c>
      <c r="L53" s="360">
        <f>L43+L51</f>
        <v>36654.046629531964</v>
      </c>
      <c r="M53" s="360">
        <f t="shared" si="37"/>
        <v>37682.570629677284</v>
      </c>
      <c r="N53" s="360">
        <f t="shared" si="37"/>
        <v>38392.111335974063</v>
      </c>
      <c r="O53" s="360">
        <f t="shared" si="37"/>
        <v>39145.647449333796</v>
      </c>
      <c r="P53" s="360">
        <f t="shared" si="37"/>
        <v>39955.795923827143</v>
      </c>
    </row>
    <row r="54" spans="1:16" ht="12" thickTop="1"/>
  </sheetData>
  <sheetProtection password="8318" sheet="1"/>
  <mergeCells count="7">
    <mergeCell ref="A49:D49"/>
    <mergeCell ref="A53:E53"/>
    <mergeCell ref="A4:P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lha3"/>
  <dimension ref="A1:M182"/>
  <sheetViews>
    <sheetView showGridLines="0" showZeros="0" zoomScale="150" zoomScaleNormal="150" workbookViewId="0">
      <selection activeCell="C18" sqref="C18"/>
    </sheetView>
  </sheetViews>
  <sheetFormatPr defaultColWidth="8.85546875" defaultRowHeight="11.1"/>
  <cols>
    <col min="1" max="1" width="24" style="160" customWidth="1"/>
    <col min="2" max="2" width="8.85546875" style="160" customWidth="1"/>
    <col min="3" max="13" width="8.140625" style="160" customWidth="1"/>
    <col min="14" max="14" width="3.42578125" style="160" customWidth="1"/>
    <col min="15" max="15" width="2.85546875" style="160" customWidth="1"/>
    <col min="16" max="16384" width="8.85546875" style="160"/>
  </cols>
  <sheetData>
    <row r="1" spans="1:13" s="63" customFormat="1" ht="12.75">
      <c r="A1" s="54"/>
      <c r="B1" s="54"/>
      <c r="C1" s="47"/>
      <c r="D1" s="47"/>
      <c r="E1" s="47"/>
      <c r="F1" s="47"/>
      <c r="G1" s="47"/>
      <c r="H1" s="47"/>
      <c r="I1" s="47"/>
      <c r="J1" s="47"/>
      <c r="K1" s="47"/>
      <c r="L1" s="86" t="s">
        <v>30</v>
      </c>
      <c r="M1" s="87" t="str">
        <f>+Pressupostos!E1</f>
        <v>DUQUESA</v>
      </c>
    </row>
    <row r="2" spans="1:13" s="63" customFormat="1" ht="11.25">
      <c r="A2" s="51"/>
      <c r="B2" s="47"/>
      <c r="C2" s="47"/>
      <c r="D2" s="47"/>
      <c r="E2" s="47"/>
      <c r="F2" s="47"/>
      <c r="G2" s="47"/>
      <c r="H2" s="47"/>
      <c r="I2" s="47"/>
      <c r="J2" s="47"/>
      <c r="K2" s="47"/>
      <c r="L2" s="54"/>
      <c r="M2" s="52" t="str">
        <f>+Pressupostos!B9</f>
        <v>Euros</v>
      </c>
    </row>
    <row r="3" spans="1:13" s="63" customFormat="1" ht="11.25">
      <c r="A3" s="51"/>
      <c r="B3" s="47"/>
      <c r="C3" s="47"/>
      <c r="D3" s="47"/>
      <c r="E3" s="47"/>
      <c r="F3" s="47"/>
      <c r="G3" s="47"/>
      <c r="H3" s="47"/>
      <c r="I3" s="47"/>
      <c r="J3" s="47"/>
      <c r="K3" s="47"/>
      <c r="L3" s="54"/>
      <c r="M3" s="52"/>
    </row>
    <row r="4" spans="1:13" s="63" customFormat="1" ht="15.75">
      <c r="A4" s="526" t="s">
        <v>225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</row>
    <row r="5" spans="1:13" ht="11.25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</row>
    <row r="6" spans="1:13" ht="11.25">
      <c r="A6" s="161"/>
      <c r="B6" s="161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13" ht="11.25">
      <c r="A7" s="566" t="s">
        <v>226</v>
      </c>
      <c r="B7" s="566"/>
      <c r="C7" s="163">
        <f>+VN!C8</f>
        <v>2020</v>
      </c>
      <c r="D7" s="163">
        <f>+VN!D8</f>
        <v>2021</v>
      </c>
      <c r="E7" s="163">
        <f>+VN!E8</f>
        <v>2022</v>
      </c>
      <c r="F7" s="163">
        <f>+VN!F8</f>
        <v>2023</v>
      </c>
      <c r="G7" s="163">
        <f>+VN!G8</f>
        <v>2024</v>
      </c>
      <c r="H7" s="163">
        <f>+VN!H8</f>
        <v>2025</v>
      </c>
      <c r="I7" s="163">
        <f>+VN!I8</f>
        <v>2026</v>
      </c>
      <c r="J7" s="163">
        <f>+VN!J8</f>
        <v>2027</v>
      </c>
      <c r="K7" s="163">
        <f>+VN!K8</f>
        <v>2028</v>
      </c>
      <c r="L7" s="163">
        <f>+VN!L8</f>
        <v>2029</v>
      </c>
      <c r="M7" s="163">
        <f>+VN!M8</f>
        <v>2030</v>
      </c>
    </row>
    <row r="8" spans="1:13" ht="11.25">
      <c r="A8" s="164" t="s">
        <v>227</v>
      </c>
      <c r="B8" s="178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</row>
    <row r="9" spans="1:13" ht="11.25">
      <c r="A9" s="303" t="s">
        <v>228</v>
      </c>
      <c r="B9" s="178"/>
      <c r="C9" s="44">
        <v>0</v>
      </c>
      <c r="D9" s="44"/>
      <c r="E9" s="44"/>
      <c r="F9" s="44"/>
      <c r="G9" s="44"/>
      <c r="H9" s="44"/>
      <c r="I9" s="44"/>
      <c r="J9" s="44"/>
      <c r="K9" s="44"/>
      <c r="L9" s="44"/>
      <c r="M9" s="44"/>
    </row>
    <row r="10" spans="1:13" ht="11.25">
      <c r="A10" s="303" t="s">
        <v>229</v>
      </c>
      <c r="B10" s="178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</row>
    <row r="11" spans="1:13" ht="11.25">
      <c r="A11" s="303" t="s">
        <v>230</v>
      </c>
      <c r="B11" s="178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</row>
    <row r="12" spans="1:13" ht="11.25">
      <c r="A12" s="562" t="s">
        <v>231</v>
      </c>
      <c r="B12" s="563"/>
      <c r="C12" s="309">
        <f>+SUM(C9:C11)</f>
        <v>0</v>
      </c>
      <c r="D12" s="309">
        <f>+SUM(D9:D11)</f>
        <v>0</v>
      </c>
      <c r="E12" s="309">
        <f>+SUM(E9:E11)</f>
        <v>0</v>
      </c>
      <c r="F12" s="309">
        <f t="shared" ref="F12:M12" si="0">+SUM(F9:F11)</f>
        <v>0</v>
      </c>
      <c r="G12" s="309">
        <f t="shared" si="0"/>
        <v>0</v>
      </c>
      <c r="H12" s="309">
        <f t="shared" si="0"/>
        <v>0</v>
      </c>
      <c r="I12" s="309">
        <f t="shared" si="0"/>
        <v>0</v>
      </c>
      <c r="J12" s="309">
        <f t="shared" si="0"/>
        <v>0</v>
      </c>
      <c r="K12" s="309">
        <f t="shared" si="0"/>
        <v>0</v>
      </c>
      <c r="L12" s="309">
        <f t="shared" si="0"/>
        <v>0</v>
      </c>
      <c r="M12" s="309">
        <f t="shared" si="0"/>
        <v>0</v>
      </c>
    </row>
    <row r="13" spans="1:13" ht="11.25">
      <c r="A13" s="164" t="s">
        <v>232</v>
      </c>
      <c r="B13" s="165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</row>
    <row r="14" spans="1:13" ht="11.25">
      <c r="A14" s="303" t="s">
        <v>233</v>
      </c>
      <c r="B14" s="165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</row>
    <row r="15" spans="1:13" ht="11.25">
      <c r="A15" s="303" t="s">
        <v>234</v>
      </c>
      <c r="B15" s="165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</row>
    <row r="16" spans="1:13" ht="11.25">
      <c r="A16" s="303" t="s">
        <v>235</v>
      </c>
      <c r="B16" s="165"/>
      <c r="C16" s="44">
        <f>29.9+23807+54.9+2218.28+250+949+749+596.28+209.9+191.8+185.01+250+129+60</f>
        <v>29680.07</v>
      </c>
      <c r="D16" s="44">
        <v>0</v>
      </c>
      <c r="E16" s="44">
        <v>0</v>
      </c>
      <c r="F16" s="483">
        <f>10900+185.01+250</f>
        <v>11335.01</v>
      </c>
      <c r="G16" s="44">
        <f>10900+185.01+250</f>
        <v>11335.01</v>
      </c>
      <c r="H16" s="44"/>
      <c r="I16" s="44"/>
      <c r="J16" s="44"/>
      <c r="K16" s="44"/>
      <c r="L16" s="44"/>
      <c r="M16" s="44"/>
    </row>
    <row r="17" spans="1:13" ht="11.25">
      <c r="A17" s="303" t="s">
        <v>236</v>
      </c>
      <c r="B17" s="165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</row>
    <row r="18" spans="1:13" ht="11.25">
      <c r="A18" s="303" t="s">
        <v>237</v>
      </c>
      <c r="B18" s="165"/>
      <c r="C18" s="44">
        <f xml:space="preserve"> 799 + 89.9</f>
        <v>888.9</v>
      </c>
      <c r="D18" s="44"/>
      <c r="E18" s="44"/>
      <c r="F18" s="44"/>
      <c r="G18" s="44"/>
      <c r="H18" s="44"/>
      <c r="I18" s="44"/>
      <c r="J18" s="44"/>
      <c r="K18" s="44"/>
      <c r="L18" s="44"/>
      <c r="M18" s="44"/>
    </row>
    <row r="19" spans="1:13" ht="11.25">
      <c r="A19" s="303" t="s">
        <v>238</v>
      </c>
      <c r="B19" s="165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</row>
    <row r="20" spans="1:13" ht="11.25">
      <c r="A20" s="303" t="s">
        <v>239</v>
      </c>
      <c r="B20" s="165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</row>
    <row r="21" spans="1:13" ht="11.25">
      <c r="A21" s="564" t="s">
        <v>240</v>
      </c>
      <c r="B21" s="565"/>
      <c r="C21" s="168">
        <f>+SUM(C14:C20)</f>
        <v>30568.97</v>
      </c>
      <c r="D21" s="168">
        <f>+SUM(D14:D20)</f>
        <v>0</v>
      </c>
      <c r="E21" s="168">
        <f>+SUM(E14:E20)</f>
        <v>0</v>
      </c>
      <c r="F21" s="168">
        <f t="shared" ref="F21:M21" si="1">+SUM(F14:F20)</f>
        <v>11335.01</v>
      </c>
      <c r="G21" s="168">
        <f t="shared" si="1"/>
        <v>11335.01</v>
      </c>
      <c r="H21" s="168">
        <f t="shared" si="1"/>
        <v>0</v>
      </c>
      <c r="I21" s="168">
        <f t="shared" si="1"/>
        <v>0</v>
      </c>
      <c r="J21" s="168">
        <f t="shared" si="1"/>
        <v>0</v>
      </c>
      <c r="K21" s="168">
        <f t="shared" si="1"/>
        <v>0</v>
      </c>
      <c r="L21" s="168">
        <f t="shared" si="1"/>
        <v>0</v>
      </c>
      <c r="M21" s="168">
        <f t="shared" si="1"/>
        <v>0</v>
      </c>
    </row>
    <row r="22" spans="1:13" ht="11.25">
      <c r="A22" s="164" t="s">
        <v>241</v>
      </c>
      <c r="B22" s="165"/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</row>
    <row r="23" spans="1:13" ht="11.25">
      <c r="A23" s="303" t="s">
        <v>242</v>
      </c>
      <c r="B23" s="165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</row>
    <row r="24" spans="1:13" ht="11.25">
      <c r="A24" s="303" t="s">
        <v>243</v>
      </c>
      <c r="B24" s="165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</row>
    <row r="25" spans="1:13" ht="11.25">
      <c r="A25" s="303" t="s">
        <v>244</v>
      </c>
      <c r="B25" s="165"/>
      <c r="C25" s="44">
        <f t="shared" ref="C25:M25" si="2">69*12</f>
        <v>828</v>
      </c>
      <c r="D25" s="44">
        <f t="shared" si="2"/>
        <v>828</v>
      </c>
      <c r="E25" s="44">
        <f t="shared" si="2"/>
        <v>828</v>
      </c>
      <c r="F25" s="44">
        <f t="shared" si="2"/>
        <v>828</v>
      </c>
      <c r="G25" s="44">
        <f t="shared" si="2"/>
        <v>828</v>
      </c>
      <c r="H25" s="44">
        <f t="shared" si="2"/>
        <v>828</v>
      </c>
      <c r="I25" s="44">
        <f t="shared" si="2"/>
        <v>828</v>
      </c>
      <c r="J25" s="44">
        <f t="shared" si="2"/>
        <v>828</v>
      </c>
      <c r="K25" s="44">
        <f t="shared" si="2"/>
        <v>828</v>
      </c>
      <c r="L25" s="44">
        <f t="shared" si="2"/>
        <v>828</v>
      </c>
      <c r="M25" s="44">
        <f t="shared" si="2"/>
        <v>828</v>
      </c>
    </row>
    <row r="26" spans="1:13" ht="11.25">
      <c r="A26" s="303" t="s">
        <v>245</v>
      </c>
      <c r="B26" s="165"/>
      <c r="C26" s="483">
        <v>107</v>
      </c>
      <c r="D26" s="44"/>
      <c r="E26" s="44"/>
      <c r="F26" s="44"/>
      <c r="G26" s="483">
        <v>53.07</v>
      </c>
      <c r="H26" s="44">
        <v>79.59</v>
      </c>
      <c r="I26" s="44">
        <v>106.14</v>
      </c>
      <c r="J26" s="44">
        <v>159.21</v>
      </c>
      <c r="K26" s="483">
        <v>318.39999999999998</v>
      </c>
      <c r="L26" s="44">
        <v>371.48</v>
      </c>
      <c r="M26" s="44">
        <v>371.48</v>
      </c>
    </row>
    <row r="27" spans="1:13" ht="11.25">
      <c r="A27" s="303" t="s">
        <v>246</v>
      </c>
      <c r="B27" s="165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</row>
    <row r="28" spans="1:13" ht="11.25">
      <c r="A28" s="564" t="s">
        <v>247</v>
      </c>
      <c r="B28" s="565"/>
      <c r="C28" s="168">
        <f>+SUM(C23:C27)</f>
        <v>935</v>
      </c>
      <c r="D28" s="168">
        <f>+SUM(D23:D27)</f>
        <v>828</v>
      </c>
      <c r="E28" s="168">
        <f>+SUM(E23:E27)</f>
        <v>828</v>
      </c>
      <c r="F28" s="168">
        <f t="shared" ref="F28:M28" si="3">+SUM(F23:F27)</f>
        <v>828</v>
      </c>
      <c r="G28" s="168">
        <f t="shared" si="3"/>
        <v>881.07</v>
      </c>
      <c r="H28" s="168">
        <f t="shared" si="3"/>
        <v>907.59</v>
      </c>
      <c r="I28" s="168">
        <f t="shared" si="3"/>
        <v>934.14</v>
      </c>
      <c r="J28" s="168">
        <f t="shared" si="3"/>
        <v>987.21</v>
      </c>
      <c r="K28" s="168">
        <f t="shared" si="3"/>
        <v>1146.4000000000001</v>
      </c>
      <c r="L28" s="168">
        <f t="shared" si="3"/>
        <v>1199.48</v>
      </c>
      <c r="M28" s="168">
        <f t="shared" si="3"/>
        <v>1199.48</v>
      </c>
    </row>
    <row r="29" spans="1:13" ht="12" thickBot="1">
      <c r="A29" s="561" t="s">
        <v>248</v>
      </c>
      <c r="B29" s="561"/>
      <c r="C29" s="169">
        <f>+C12+C21+C28</f>
        <v>31503.97</v>
      </c>
      <c r="D29" s="169">
        <f>+D12+D21+D28</f>
        <v>828</v>
      </c>
      <c r="E29" s="169">
        <f>+E12+E21+E28</f>
        <v>828</v>
      </c>
      <c r="F29" s="169">
        <f t="shared" ref="F29:M29" si="4">+F12+F21+F28</f>
        <v>12163.01</v>
      </c>
      <c r="G29" s="169">
        <f t="shared" si="4"/>
        <v>12216.08</v>
      </c>
      <c r="H29" s="169">
        <f t="shared" si="4"/>
        <v>907.59</v>
      </c>
      <c r="I29" s="169">
        <f t="shared" si="4"/>
        <v>934.14</v>
      </c>
      <c r="J29" s="169">
        <f t="shared" si="4"/>
        <v>987.21</v>
      </c>
      <c r="K29" s="169">
        <f t="shared" si="4"/>
        <v>1146.4000000000001</v>
      </c>
      <c r="L29" s="169">
        <f t="shared" si="4"/>
        <v>1199.48</v>
      </c>
      <c r="M29" s="169">
        <f t="shared" si="4"/>
        <v>1199.48</v>
      </c>
    </row>
    <row r="30" spans="1:13" ht="12" thickTop="1">
      <c r="A30" s="170"/>
      <c r="B30" s="170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</row>
    <row r="31" spans="1:13" ht="12" thickBot="1">
      <c r="A31" s="172" t="s">
        <v>111</v>
      </c>
      <c r="B31" s="287">
        <f>+Pressupostos!B22</f>
        <v>0.23</v>
      </c>
      <c r="C31" s="169">
        <f>+$B$31*(C16+C18+C20+C25)</f>
        <v>7221.303100000001</v>
      </c>
      <c r="D31" s="169">
        <f>+$B$31*(D16+D18+D20+D25)</f>
        <v>190.44</v>
      </c>
      <c r="E31" s="169">
        <f>+$B$31*(E16+E18+E20+E25)</f>
        <v>190.44</v>
      </c>
      <c r="F31" s="169">
        <f t="shared" ref="F31:M31" si="5">+$B$31*(F16+F18+F20+F25)</f>
        <v>2797.4923000000003</v>
      </c>
      <c r="G31" s="169">
        <f t="shared" si="5"/>
        <v>2797.4923000000003</v>
      </c>
      <c r="H31" s="169">
        <f t="shared" si="5"/>
        <v>190.44</v>
      </c>
      <c r="I31" s="169">
        <f t="shared" si="5"/>
        <v>190.44</v>
      </c>
      <c r="J31" s="169">
        <f t="shared" si="5"/>
        <v>190.44</v>
      </c>
      <c r="K31" s="169">
        <f t="shared" si="5"/>
        <v>190.44</v>
      </c>
      <c r="L31" s="169">
        <f t="shared" si="5"/>
        <v>190.44</v>
      </c>
      <c r="M31" s="169">
        <f t="shared" si="5"/>
        <v>190.44</v>
      </c>
    </row>
    <row r="32" spans="1:13" ht="12" thickTop="1">
      <c r="A32" s="173"/>
      <c r="B32" s="174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</row>
    <row r="33" spans="1:13" ht="11.25">
      <c r="A33" s="566" t="s">
        <v>249</v>
      </c>
      <c r="B33" s="566"/>
      <c r="C33" s="163">
        <f>+C7</f>
        <v>2020</v>
      </c>
      <c r="D33" s="163">
        <f>+D7</f>
        <v>2021</v>
      </c>
      <c r="E33" s="163">
        <f>+E7</f>
        <v>2022</v>
      </c>
      <c r="F33" s="163">
        <f t="shared" ref="F33:M33" si="6">+F7</f>
        <v>2023</v>
      </c>
      <c r="G33" s="163">
        <f t="shared" si="6"/>
        <v>2024</v>
      </c>
      <c r="H33" s="163">
        <f t="shared" si="6"/>
        <v>2025</v>
      </c>
      <c r="I33" s="163">
        <f t="shared" si="6"/>
        <v>2026</v>
      </c>
      <c r="J33" s="163">
        <f t="shared" si="6"/>
        <v>2027</v>
      </c>
      <c r="K33" s="163">
        <f t="shared" si="6"/>
        <v>2028</v>
      </c>
      <c r="L33" s="163">
        <f t="shared" si="6"/>
        <v>2029</v>
      </c>
      <c r="M33" s="163">
        <f t="shared" si="6"/>
        <v>2030</v>
      </c>
    </row>
    <row r="34" spans="1:13" ht="11.25">
      <c r="A34" s="164" t="s">
        <v>227</v>
      </c>
      <c r="B34" s="178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</row>
    <row r="35" spans="1:13" ht="11.25">
      <c r="A35" s="303" t="s">
        <v>228</v>
      </c>
      <c r="B35" s="178"/>
      <c r="C35" s="307">
        <f>+C9</f>
        <v>0</v>
      </c>
      <c r="D35" s="307">
        <f t="shared" ref="D35:E37" si="7">+C35+D9</f>
        <v>0</v>
      </c>
      <c r="E35" s="307">
        <f t="shared" si="7"/>
        <v>0</v>
      </c>
      <c r="F35" s="307">
        <f t="shared" ref="F35:M35" si="8">+E35+F9</f>
        <v>0</v>
      </c>
      <c r="G35" s="307">
        <f t="shared" si="8"/>
        <v>0</v>
      </c>
      <c r="H35" s="307">
        <f t="shared" si="8"/>
        <v>0</v>
      </c>
      <c r="I35" s="307">
        <f t="shared" si="8"/>
        <v>0</v>
      </c>
      <c r="J35" s="307">
        <f t="shared" si="8"/>
        <v>0</v>
      </c>
      <c r="K35" s="307">
        <f t="shared" si="8"/>
        <v>0</v>
      </c>
      <c r="L35" s="307">
        <f t="shared" si="8"/>
        <v>0</v>
      </c>
      <c r="M35" s="307">
        <f t="shared" si="8"/>
        <v>0</v>
      </c>
    </row>
    <row r="36" spans="1:13" ht="11.25">
      <c r="A36" s="303" t="s">
        <v>229</v>
      </c>
      <c r="B36" s="178"/>
      <c r="C36" s="307">
        <f>+C10</f>
        <v>0</v>
      </c>
      <c r="D36" s="307">
        <f t="shared" si="7"/>
        <v>0</v>
      </c>
      <c r="E36" s="307">
        <f t="shared" si="7"/>
        <v>0</v>
      </c>
      <c r="F36" s="307">
        <f t="shared" ref="F36:M36" si="9">+E36+F10</f>
        <v>0</v>
      </c>
      <c r="G36" s="307">
        <f t="shared" si="9"/>
        <v>0</v>
      </c>
      <c r="H36" s="307">
        <f t="shared" si="9"/>
        <v>0</v>
      </c>
      <c r="I36" s="307">
        <f t="shared" si="9"/>
        <v>0</v>
      </c>
      <c r="J36" s="307">
        <f t="shared" si="9"/>
        <v>0</v>
      </c>
      <c r="K36" s="307">
        <f t="shared" si="9"/>
        <v>0</v>
      </c>
      <c r="L36" s="307">
        <f t="shared" si="9"/>
        <v>0</v>
      </c>
      <c r="M36" s="307">
        <f t="shared" si="9"/>
        <v>0</v>
      </c>
    </row>
    <row r="37" spans="1:13" ht="11.25">
      <c r="A37" s="303" t="s">
        <v>230</v>
      </c>
      <c r="B37" s="178"/>
      <c r="C37" s="307">
        <f>+C11</f>
        <v>0</v>
      </c>
      <c r="D37" s="307">
        <f t="shared" si="7"/>
        <v>0</v>
      </c>
      <c r="E37" s="307">
        <f t="shared" si="7"/>
        <v>0</v>
      </c>
      <c r="F37" s="307">
        <f t="shared" ref="F37:M37" si="10">+E37+F11</f>
        <v>0</v>
      </c>
      <c r="G37" s="307">
        <f t="shared" si="10"/>
        <v>0</v>
      </c>
      <c r="H37" s="307">
        <f t="shared" si="10"/>
        <v>0</v>
      </c>
      <c r="I37" s="307">
        <f t="shared" si="10"/>
        <v>0</v>
      </c>
      <c r="J37" s="307">
        <f t="shared" si="10"/>
        <v>0</v>
      </c>
      <c r="K37" s="307">
        <f t="shared" si="10"/>
        <v>0</v>
      </c>
      <c r="L37" s="307">
        <f t="shared" si="10"/>
        <v>0</v>
      </c>
      <c r="M37" s="307">
        <f t="shared" si="10"/>
        <v>0</v>
      </c>
    </row>
    <row r="38" spans="1:13" ht="11.25">
      <c r="A38" s="562" t="s">
        <v>231</v>
      </c>
      <c r="B38" s="563"/>
      <c r="C38" s="306">
        <f>+SUM(C35:C37)</f>
        <v>0</v>
      </c>
      <c r="D38" s="306">
        <f>+SUM(D35:D37)</f>
        <v>0</v>
      </c>
      <c r="E38" s="306">
        <f>+SUM(E35:E37)</f>
        <v>0</v>
      </c>
      <c r="F38" s="306">
        <f t="shared" ref="F38:M38" si="11">+SUM(F35:F37)</f>
        <v>0</v>
      </c>
      <c r="G38" s="306">
        <f t="shared" si="11"/>
        <v>0</v>
      </c>
      <c r="H38" s="306">
        <f t="shared" si="11"/>
        <v>0</v>
      </c>
      <c r="I38" s="306">
        <f t="shared" si="11"/>
        <v>0</v>
      </c>
      <c r="J38" s="306">
        <f t="shared" si="11"/>
        <v>0</v>
      </c>
      <c r="K38" s="306">
        <f t="shared" si="11"/>
        <v>0</v>
      </c>
      <c r="L38" s="306">
        <f t="shared" si="11"/>
        <v>0</v>
      </c>
      <c r="M38" s="306">
        <f t="shared" si="11"/>
        <v>0</v>
      </c>
    </row>
    <row r="39" spans="1:13" ht="11.25">
      <c r="A39" s="164" t="s">
        <v>232</v>
      </c>
      <c r="B39" s="165"/>
      <c r="C39" s="306"/>
      <c r="D39" s="306"/>
      <c r="E39" s="306"/>
      <c r="F39" s="306"/>
      <c r="G39" s="306"/>
      <c r="H39" s="306"/>
      <c r="I39" s="306"/>
      <c r="J39" s="306"/>
      <c r="K39" s="306"/>
      <c r="L39" s="306"/>
      <c r="M39" s="306"/>
    </row>
    <row r="40" spans="1:13" ht="11.25">
      <c r="A40" s="166" t="s">
        <v>250</v>
      </c>
      <c r="B40" s="165"/>
      <c r="C40" s="306">
        <f>+C14</f>
        <v>0</v>
      </c>
      <c r="D40" s="306">
        <f t="shared" ref="D40:E46" si="12">+C40+D14</f>
        <v>0</v>
      </c>
      <c r="E40" s="306">
        <f t="shared" si="12"/>
        <v>0</v>
      </c>
      <c r="F40" s="306">
        <f t="shared" ref="F40:M40" si="13">+E40+F14</f>
        <v>0</v>
      </c>
      <c r="G40" s="306">
        <f t="shared" si="13"/>
        <v>0</v>
      </c>
      <c r="H40" s="306">
        <f t="shared" si="13"/>
        <v>0</v>
      </c>
      <c r="I40" s="306">
        <f t="shared" si="13"/>
        <v>0</v>
      </c>
      <c r="J40" s="306">
        <f t="shared" si="13"/>
        <v>0</v>
      </c>
      <c r="K40" s="306">
        <f t="shared" si="13"/>
        <v>0</v>
      </c>
      <c r="L40" s="306">
        <f t="shared" si="13"/>
        <v>0</v>
      </c>
      <c r="M40" s="306">
        <f t="shared" si="13"/>
        <v>0</v>
      </c>
    </row>
    <row r="41" spans="1:13" ht="11.25">
      <c r="A41" s="166" t="s">
        <v>251</v>
      </c>
      <c r="B41" s="165"/>
      <c r="C41" s="307">
        <f t="shared" ref="C41:C46" si="14">+C15</f>
        <v>0</v>
      </c>
      <c r="D41" s="307">
        <f t="shared" si="12"/>
        <v>0</v>
      </c>
      <c r="E41" s="307">
        <f t="shared" si="12"/>
        <v>0</v>
      </c>
      <c r="F41" s="307">
        <f t="shared" ref="F41:M41" si="15">+E41+F15</f>
        <v>0</v>
      </c>
      <c r="G41" s="307">
        <f t="shared" si="15"/>
        <v>0</v>
      </c>
      <c r="H41" s="307">
        <f t="shared" si="15"/>
        <v>0</v>
      </c>
      <c r="I41" s="307">
        <f t="shared" si="15"/>
        <v>0</v>
      </c>
      <c r="J41" s="307">
        <f t="shared" si="15"/>
        <v>0</v>
      </c>
      <c r="K41" s="307">
        <f t="shared" si="15"/>
        <v>0</v>
      </c>
      <c r="L41" s="307">
        <f t="shared" si="15"/>
        <v>0</v>
      </c>
      <c r="M41" s="307">
        <f t="shared" si="15"/>
        <v>0</v>
      </c>
    </row>
    <row r="42" spans="1:13" ht="11.25">
      <c r="A42" s="166" t="s">
        <v>252</v>
      </c>
      <c r="B42" s="165"/>
      <c r="C42" s="307">
        <f t="shared" si="14"/>
        <v>29680.07</v>
      </c>
      <c r="D42" s="307">
        <f t="shared" si="12"/>
        <v>29680.07</v>
      </c>
      <c r="E42" s="307">
        <f t="shared" si="12"/>
        <v>29680.07</v>
      </c>
      <c r="F42" s="307">
        <f t="shared" ref="F42:M42" si="16">+E42+F16</f>
        <v>41015.08</v>
      </c>
      <c r="G42" s="307">
        <f t="shared" si="16"/>
        <v>52350.090000000004</v>
      </c>
      <c r="H42" s="307">
        <f t="shared" si="16"/>
        <v>52350.090000000004</v>
      </c>
      <c r="I42" s="307">
        <f t="shared" si="16"/>
        <v>52350.090000000004</v>
      </c>
      <c r="J42" s="307">
        <f t="shared" si="16"/>
        <v>52350.090000000004</v>
      </c>
      <c r="K42" s="307">
        <f t="shared" si="16"/>
        <v>52350.090000000004</v>
      </c>
      <c r="L42" s="307">
        <f t="shared" si="16"/>
        <v>52350.090000000004</v>
      </c>
      <c r="M42" s="307">
        <f t="shared" si="16"/>
        <v>52350.090000000004</v>
      </c>
    </row>
    <row r="43" spans="1:13" ht="11.25">
      <c r="A43" s="166" t="s">
        <v>253</v>
      </c>
      <c r="B43" s="165"/>
      <c r="C43" s="307">
        <f t="shared" si="14"/>
        <v>0</v>
      </c>
      <c r="D43" s="307">
        <f t="shared" si="12"/>
        <v>0</v>
      </c>
      <c r="E43" s="307">
        <f t="shared" si="12"/>
        <v>0</v>
      </c>
      <c r="F43" s="307">
        <f t="shared" ref="F43:M43" si="17">+E43+F17</f>
        <v>0</v>
      </c>
      <c r="G43" s="307">
        <f t="shared" si="17"/>
        <v>0</v>
      </c>
      <c r="H43" s="307">
        <f t="shared" si="17"/>
        <v>0</v>
      </c>
      <c r="I43" s="307">
        <f t="shared" si="17"/>
        <v>0</v>
      </c>
      <c r="J43" s="307">
        <f t="shared" si="17"/>
        <v>0</v>
      </c>
      <c r="K43" s="307">
        <f t="shared" si="17"/>
        <v>0</v>
      </c>
      <c r="L43" s="307">
        <f t="shared" si="17"/>
        <v>0</v>
      </c>
      <c r="M43" s="307">
        <f t="shared" si="17"/>
        <v>0</v>
      </c>
    </row>
    <row r="44" spans="1:13" ht="11.25">
      <c r="A44" s="166" t="s">
        <v>254</v>
      </c>
      <c r="B44" s="165"/>
      <c r="C44" s="307">
        <f t="shared" si="14"/>
        <v>888.9</v>
      </c>
      <c r="D44" s="307">
        <f t="shared" si="12"/>
        <v>888.9</v>
      </c>
      <c r="E44" s="307">
        <f t="shared" si="12"/>
        <v>888.9</v>
      </c>
      <c r="F44" s="307">
        <f t="shared" ref="F44:M44" si="18">+E44+F18</f>
        <v>888.9</v>
      </c>
      <c r="G44" s="307">
        <f t="shared" si="18"/>
        <v>888.9</v>
      </c>
      <c r="H44" s="307">
        <f t="shared" si="18"/>
        <v>888.9</v>
      </c>
      <c r="I44" s="307">
        <f t="shared" si="18"/>
        <v>888.9</v>
      </c>
      <c r="J44" s="307">
        <f t="shared" si="18"/>
        <v>888.9</v>
      </c>
      <c r="K44" s="307">
        <f t="shared" si="18"/>
        <v>888.9</v>
      </c>
      <c r="L44" s="307">
        <f t="shared" si="18"/>
        <v>888.9</v>
      </c>
      <c r="M44" s="307">
        <f t="shared" si="18"/>
        <v>888.9</v>
      </c>
    </row>
    <row r="45" spans="1:13" ht="11.25">
      <c r="A45" s="166" t="s">
        <v>255</v>
      </c>
      <c r="B45" s="165"/>
      <c r="C45" s="307">
        <f t="shared" si="14"/>
        <v>0</v>
      </c>
      <c r="D45" s="307">
        <f t="shared" si="12"/>
        <v>0</v>
      </c>
      <c r="E45" s="307">
        <f t="shared" si="12"/>
        <v>0</v>
      </c>
      <c r="F45" s="307">
        <f t="shared" ref="F45:M45" si="19">+E45+F19</f>
        <v>0</v>
      </c>
      <c r="G45" s="307">
        <f t="shared" si="19"/>
        <v>0</v>
      </c>
      <c r="H45" s="307">
        <f t="shared" si="19"/>
        <v>0</v>
      </c>
      <c r="I45" s="307">
        <f t="shared" si="19"/>
        <v>0</v>
      </c>
      <c r="J45" s="307">
        <f t="shared" si="19"/>
        <v>0</v>
      </c>
      <c r="K45" s="307">
        <f t="shared" si="19"/>
        <v>0</v>
      </c>
      <c r="L45" s="307">
        <f t="shared" si="19"/>
        <v>0</v>
      </c>
      <c r="M45" s="307">
        <f t="shared" si="19"/>
        <v>0</v>
      </c>
    </row>
    <row r="46" spans="1:13" ht="11.25">
      <c r="A46" s="166" t="s">
        <v>256</v>
      </c>
      <c r="B46" s="165"/>
      <c r="C46" s="307">
        <f t="shared" si="14"/>
        <v>0</v>
      </c>
      <c r="D46" s="307">
        <f t="shared" si="12"/>
        <v>0</v>
      </c>
      <c r="E46" s="307">
        <f t="shared" si="12"/>
        <v>0</v>
      </c>
      <c r="F46" s="307">
        <f t="shared" ref="F46:M46" si="20">+E46+F20</f>
        <v>0</v>
      </c>
      <c r="G46" s="307">
        <f t="shared" si="20"/>
        <v>0</v>
      </c>
      <c r="H46" s="307">
        <f t="shared" si="20"/>
        <v>0</v>
      </c>
      <c r="I46" s="307">
        <f t="shared" si="20"/>
        <v>0</v>
      </c>
      <c r="J46" s="307">
        <f t="shared" si="20"/>
        <v>0</v>
      </c>
      <c r="K46" s="307">
        <f t="shared" si="20"/>
        <v>0</v>
      </c>
      <c r="L46" s="307">
        <f t="shared" si="20"/>
        <v>0</v>
      </c>
      <c r="M46" s="307">
        <f t="shared" si="20"/>
        <v>0</v>
      </c>
    </row>
    <row r="47" spans="1:13" ht="11.25">
      <c r="A47" s="564" t="s">
        <v>240</v>
      </c>
      <c r="B47" s="565"/>
      <c r="C47" s="308">
        <f>+SUM(C40:C46)</f>
        <v>30568.97</v>
      </c>
      <c r="D47" s="308">
        <f>+SUM(D40:D46)</f>
        <v>30568.97</v>
      </c>
      <c r="E47" s="308">
        <f>+SUM(E40:E46)</f>
        <v>30568.97</v>
      </c>
      <c r="F47" s="308">
        <f t="shared" ref="F47:M47" si="21">+SUM(F40:F46)</f>
        <v>41903.980000000003</v>
      </c>
      <c r="G47" s="308">
        <f t="shared" si="21"/>
        <v>53238.990000000005</v>
      </c>
      <c r="H47" s="308">
        <f t="shared" si="21"/>
        <v>53238.990000000005</v>
      </c>
      <c r="I47" s="308">
        <f t="shared" si="21"/>
        <v>53238.990000000005</v>
      </c>
      <c r="J47" s="308">
        <f t="shared" si="21"/>
        <v>53238.990000000005</v>
      </c>
      <c r="K47" s="308">
        <f t="shared" si="21"/>
        <v>53238.990000000005</v>
      </c>
      <c r="L47" s="308">
        <f t="shared" si="21"/>
        <v>53238.990000000005</v>
      </c>
      <c r="M47" s="308">
        <f t="shared" si="21"/>
        <v>53238.990000000005</v>
      </c>
    </row>
    <row r="48" spans="1:13" ht="11.25">
      <c r="A48" s="164" t="s">
        <v>241</v>
      </c>
      <c r="B48" s="165"/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</row>
    <row r="49" spans="1:13" ht="11.25">
      <c r="A49" s="303" t="s">
        <v>242</v>
      </c>
      <c r="B49" s="165"/>
      <c r="C49" s="176">
        <f>+C23</f>
        <v>0</v>
      </c>
      <c r="D49" s="176">
        <f t="shared" ref="D49:E53" si="22">+C49+D23</f>
        <v>0</v>
      </c>
      <c r="E49" s="176">
        <f t="shared" si="22"/>
        <v>0</v>
      </c>
      <c r="F49" s="176">
        <f t="shared" ref="F49:M49" si="23">+E49+F23</f>
        <v>0</v>
      </c>
      <c r="G49" s="176">
        <f t="shared" si="23"/>
        <v>0</v>
      </c>
      <c r="H49" s="176">
        <f t="shared" si="23"/>
        <v>0</v>
      </c>
      <c r="I49" s="176">
        <f t="shared" si="23"/>
        <v>0</v>
      </c>
      <c r="J49" s="176">
        <f t="shared" si="23"/>
        <v>0</v>
      </c>
      <c r="K49" s="176">
        <f t="shared" si="23"/>
        <v>0</v>
      </c>
      <c r="L49" s="176">
        <f t="shared" si="23"/>
        <v>0</v>
      </c>
      <c r="M49" s="176">
        <f t="shared" si="23"/>
        <v>0</v>
      </c>
    </row>
    <row r="50" spans="1:13" ht="11.25">
      <c r="A50" s="303" t="s">
        <v>243</v>
      </c>
      <c r="B50" s="165"/>
      <c r="C50" s="176">
        <f>+C24</f>
        <v>0</v>
      </c>
      <c r="D50" s="176">
        <f t="shared" si="22"/>
        <v>0</v>
      </c>
      <c r="E50" s="176">
        <f t="shared" si="22"/>
        <v>0</v>
      </c>
      <c r="F50" s="176">
        <f t="shared" ref="F50:M50" si="24">+E50+F24</f>
        <v>0</v>
      </c>
      <c r="G50" s="176">
        <f t="shared" si="24"/>
        <v>0</v>
      </c>
      <c r="H50" s="176">
        <f t="shared" si="24"/>
        <v>0</v>
      </c>
      <c r="I50" s="176">
        <f t="shared" si="24"/>
        <v>0</v>
      </c>
      <c r="J50" s="176">
        <f t="shared" si="24"/>
        <v>0</v>
      </c>
      <c r="K50" s="176">
        <f t="shared" si="24"/>
        <v>0</v>
      </c>
      <c r="L50" s="176">
        <f t="shared" si="24"/>
        <v>0</v>
      </c>
      <c r="M50" s="176">
        <f t="shared" si="24"/>
        <v>0</v>
      </c>
    </row>
    <row r="51" spans="1:13" ht="11.25">
      <c r="A51" s="303" t="s">
        <v>244</v>
      </c>
      <c r="B51" s="165"/>
      <c r="C51" s="176">
        <f>+C25</f>
        <v>828</v>
      </c>
      <c r="D51" s="176">
        <f t="shared" si="22"/>
        <v>1656</v>
      </c>
      <c r="E51" s="176">
        <f t="shared" si="22"/>
        <v>2484</v>
      </c>
      <c r="F51" s="176">
        <f t="shared" ref="F51:M51" si="25">+E51+F25</f>
        <v>3312</v>
      </c>
      <c r="G51" s="176">
        <f t="shared" si="25"/>
        <v>4140</v>
      </c>
      <c r="H51" s="176">
        <f t="shared" si="25"/>
        <v>4968</v>
      </c>
      <c r="I51" s="176">
        <f t="shared" si="25"/>
        <v>5796</v>
      </c>
      <c r="J51" s="176">
        <f t="shared" si="25"/>
        <v>6624</v>
      </c>
      <c r="K51" s="176">
        <f t="shared" si="25"/>
        <v>7452</v>
      </c>
      <c r="L51" s="176">
        <f t="shared" si="25"/>
        <v>8280</v>
      </c>
      <c r="M51" s="176">
        <f t="shared" si="25"/>
        <v>9108</v>
      </c>
    </row>
    <row r="52" spans="1:13" ht="11.25">
      <c r="A52" s="303" t="s">
        <v>245</v>
      </c>
      <c r="B52" s="165"/>
      <c r="C52" s="176">
        <f>+C26</f>
        <v>107</v>
      </c>
      <c r="D52" s="176">
        <f t="shared" si="22"/>
        <v>107</v>
      </c>
      <c r="E52" s="176">
        <f t="shared" si="22"/>
        <v>107</v>
      </c>
      <c r="F52" s="176">
        <f t="shared" ref="F52:M52" si="26">+E52+F26</f>
        <v>107</v>
      </c>
      <c r="G52" s="176">
        <f t="shared" si="26"/>
        <v>160.07</v>
      </c>
      <c r="H52" s="176">
        <f t="shared" si="26"/>
        <v>239.66</v>
      </c>
      <c r="I52" s="176">
        <f t="shared" si="26"/>
        <v>345.8</v>
      </c>
      <c r="J52" s="176">
        <f t="shared" si="26"/>
        <v>505.01</v>
      </c>
      <c r="K52" s="176">
        <f t="shared" si="26"/>
        <v>823.41</v>
      </c>
      <c r="L52" s="176">
        <f t="shared" si="26"/>
        <v>1194.8899999999999</v>
      </c>
      <c r="M52" s="176">
        <f t="shared" si="26"/>
        <v>1566.37</v>
      </c>
    </row>
    <row r="53" spans="1:13" ht="11.25">
      <c r="A53" s="303" t="s">
        <v>246</v>
      </c>
      <c r="B53" s="165"/>
      <c r="C53" s="176">
        <f>+C27</f>
        <v>0</v>
      </c>
      <c r="D53" s="176">
        <f t="shared" si="22"/>
        <v>0</v>
      </c>
      <c r="E53" s="176">
        <f t="shared" si="22"/>
        <v>0</v>
      </c>
      <c r="F53" s="176">
        <f t="shared" ref="F53:M53" si="27">+E53+F27</f>
        <v>0</v>
      </c>
      <c r="G53" s="176">
        <f t="shared" si="27"/>
        <v>0</v>
      </c>
      <c r="H53" s="176">
        <f t="shared" si="27"/>
        <v>0</v>
      </c>
      <c r="I53" s="176">
        <f t="shared" si="27"/>
        <v>0</v>
      </c>
      <c r="J53" s="176">
        <f t="shared" si="27"/>
        <v>0</v>
      </c>
      <c r="K53" s="176">
        <f t="shared" si="27"/>
        <v>0</v>
      </c>
      <c r="L53" s="176">
        <f t="shared" si="27"/>
        <v>0</v>
      </c>
      <c r="M53" s="176">
        <f t="shared" si="27"/>
        <v>0</v>
      </c>
    </row>
    <row r="54" spans="1:13" ht="11.25">
      <c r="A54" s="564" t="s">
        <v>247</v>
      </c>
      <c r="B54" s="565"/>
      <c r="C54" s="308">
        <f>+SUM(C49:C53)</f>
        <v>935</v>
      </c>
      <c r="D54" s="308">
        <f>+SUM(D49:D53)</f>
        <v>1763</v>
      </c>
      <c r="E54" s="308">
        <f>+SUM(E49:E53)</f>
        <v>2591</v>
      </c>
      <c r="F54" s="308">
        <f t="shared" ref="F54:M54" si="28">+SUM(F49:F53)</f>
        <v>3419</v>
      </c>
      <c r="G54" s="308">
        <f t="shared" si="28"/>
        <v>4300.07</v>
      </c>
      <c r="H54" s="308">
        <f t="shared" si="28"/>
        <v>5207.66</v>
      </c>
      <c r="I54" s="308">
        <f t="shared" si="28"/>
        <v>6141.8</v>
      </c>
      <c r="J54" s="308">
        <f t="shared" si="28"/>
        <v>7129.01</v>
      </c>
      <c r="K54" s="308">
        <f t="shared" si="28"/>
        <v>8275.41</v>
      </c>
      <c r="L54" s="308">
        <f t="shared" si="28"/>
        <v>9474.89</v>
      </c>
      <c r="M54" s="308">
        <f t="shared" si="28"/>
        <v>10674.369999999999</v>
      </c>
    </row>
    <row r="55" spans="1:13" ht="12" thickBot="1">
      <c r="A55" s="561" t="s">
        <v>257</v>
      </c>
      <c r="B55" s="561"/>
      <c r="C55" s="169">
        <f>+C38+C47+C54</f>
        <v>31503.97</v>
      </c>
      <c r="D55" s="169">
        <f>+D38+D47+D54</f>
        <v>32331.97</v>
      </c>
      <c r="E55" s="169">
        <f>+E38+E47+E54</f>
        <v>33159.97</v>
      </c>
      <c r="F55" s="169">
        <f t="shared" ref="F55:M55" si="29">+F38+F47+F54</f>
        <v>45322.98</v>
      </c>
      <c r="G55" s="169">
        <f t="shared" si="29"/>
        <v>57539.060000000005</v>
      </c>
      <c r="H55" s="169">
        <f t="shared" si="29"/>
        <v>58446.650000000009</v>
      </c>
      <c r="I55" s="169">
        <f t="shared" si="29"/>
        <v>59380.790000000008</v>
      </c>
      <c r="J55" s="169">
        <f t="shared" si="29"/>
        <v>60368.000000000007</v>
      </c>
      <c r="K55" s="169">
        <f t="shared" si="29"/>
        <v>61514.400000000009</v>
      </c>
      <c r="L55" s="169">
        <f t="shared" si="29"/>
        <v>62713.880000000005</v>
      </c>
      <c r="M55" s="169">
        <f t="shared" si="29"/>
        <v>63913.36</v>
      </c>
    </row>
    <row r="56" spans="1:13" ht="12" thickTop="1">
      <c r="A56" s="174"/>
      <c r="B56" s="174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</row>
    <row r="57" spans="1:13" ht="11.25">
      <c r="A57" s="174"/>
      <c r="B57" s="174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</row>
    <row r="58" spans="1:13" ht="11.25">
      <c r="A58" s="567" t="s">
        <v>258</v>
      </c>
      <c r="B58" s="568"/>
      <c r="C58" s="569"/>
      <c r="D58" s="175"/>
      <c r="E58" s="175"/>
      <c r="F58" s="175"/>
      <c r="G58" s="175"/>
      <c r="H58" s="175"/>
      <c r="I58" s="175"/>
      <c r="J58" s="175"/>
      <c r="K58" s="175"/>
      <c r="L58" s="175"/>
      <c r="M58" s="175"/>
    </row>
    <row r="59" spans="1:13" ht="11.25">
      <c r="A59" s="312" t="s">
        <v>227</v>
      </c>
      <c r="B59" s="313"/>
      <c r="C59" s="314"/>
      <c r="D59" s="175"/>
      <c r="E59" s="175"/>
      <c r="F59" s="175"/>
      <c r="G59" s="175"/>
      <c r="H59" s="175"/>
      <c r="I59" s="175"/>
      <c r="J59" s="175"/>
      <c r="K59" s="175"/>
      <c r="L59" s="175"/>
      <c r="M59" s="175"/>
    </row>
    <row r="60" spans="1:13" ht="11.25">
      <c r="A60" s="303" t="s">
        <v>229</v>
      </c>
      <c r="B60" s="165"/>
      <c r="C60" s="457">
        <v>0.02</v>
      </c>
      <c r="D60" s="175"/>
      <c r="E60" s="175"/>
      <c r="F60" s="175"/>
      <c r="G60" s="175"/>
      <c r="H60" s="175"/>
      <c r="I60" s="175"/>
      <c r="J60" s="175"/>
      <c r="K60" s="175"/>
      <c r="L60" s="175"/>
      <c r="M60" s="175"/>
    </row>
    <row r="61" spans="1:13" ht="11.25">
      <c r="A61" s="303" t="s">
        <v>230</v>
      </c>
      <c r="B61" s="165"/>
      <c r="C61" s="457">
        <v>0.1</v>
      </c>
      <c r="D61" s="175"/>
      <c r="E61" s="175"/>
      <c r="F61" s="175"/>
      <c r="G61" s="175"/>
      <c r="H61" s="175"/>
      <c r="I61" s="175"/>
      <c r="J61" s="175"/>
      <c r="K61" s="175"/>
      <c r="L61" s="175"/>
      <c r="M61" s="175"/>
    </row>
    <row r="62" spans="1:13" ht="11.25">
      <c r="A62" s="164" t="s">
        <v>232</v>
      </c>
      <c r="B62" s="165"/>
      <c r="C62" s="458"/>
      <c r="D62" s="175"/>
      <c r="E62" s="175"/>
      <c r="F62" s="175"/>
      <c r="G62" s="175"/>
      <c r="H62" s="175"/>
      <c r="I62" s="175"/>
      <c r="J62" s="175"/>
      <c r="K62" s="175"/>
      <c r="L62" s="175"/>
      <c r="M62" s="175"/>
    </row>
    <row r="63" spans="1:13" ht="11.25">
      <c r="A63" s="303" t="s">
        <v>234</v>
      </c>
      <c r="B63" s="165"/>
      <c r="C63" s="457">
        <v>0.02</v>
      </c>
      <c r="D63" s="175"/>
      <c r="E63" s="175"/>
      <c r="F63" s="175"/>
      <c r="G63" s="175"/>
      <c r="H63" s="175"/>
      <c r="I63" s="175"/>
      <c r="J63" s="175"/>
      <c r="K63" s="175"/>
      <c r="L63" s="175"/>
      <c r="M63" s="175"/>
    </row>
    <row r="64" spans="1:13" ht="11.25">
      <c r="A64" s="303" t="s">
        <v>235</v>
      </c>
      <c r="B64" s="165"/>
      <c r="C64" s="457">
        <v>0.2</v>
      </c>
      <c r="D64" s="175"/>
      <c r="E64" s="175"/>
      <c r="F64" s="175"/>
      <c r="G64" s="175"/>
      <c r="H64" s="175"/>
      <c r="I64" s="175"/>
      <c r="J64" s="175"/>
      <c r="K64" s="175"/>
      <c r="L64" s="175"/>
      <c r="M64" s="175"/>
    </row>
    <row r="65" spans="1:13" ht="11.25">
      <c r="A65" s="303" t="s">
        <v>236</v>
      </c>
      <c r="B65" s="165"/>
      <c r="C65" s="457">
        <v>0.25</v>
      </c>
      <c r="D65" s="175"/>
      <c r="E65" s="175"/>
      <c r="F65" s="175"/>
      <c r="G65" s="175"/>
      <c r="H65" s="175"/>
      <c r="I65" s="175"/>
      <c r="J65" s="175"/>
      <c r="K65" s="175"/>
      <c r="L65" s="175"/>
      <c r="M65" s="175"/>
    </row>
    <row r="66" spans="1:13" ht="11.25">
      <c r="A66" s="303" t="s">
        <v>237</v>
      </c>
      <c r="B66" s="165"/>
      <c r="C66" s="457">
        <v>0.25</v>
      </c>
      <c r="D66" s="175"/>
      <c r="E66" s="175"/>
      <c r="F66" s="175"/>
      <c r="G66" s="175"/>
      <c r="H66" s="175"/>
      <c r="I66" s="175"/>
      <c r="J66" s="175"/>
      <c r="K66" s="175"/>
      <c r="L66" s="175"/>
      <c r="M66" s="175"/>
    </row>
    <row r="67" spans="1:13" ht="11.25">
      <c r="A67" s="303" t="s">
        <v>238</v>
      </c>
      <c r="B67" s="165"/>
      <c r="C67" s="457">
        <v>0.25</v>
      </c>
      <c r="D67" s="175"/>
      <c r="E67" s="175"/>
      <c r="F67" s="175"/>
      <c r="G67" s="175"/>
      <c r="H67" s="175"/>
      <c r="I67" s="175"/>
      <c r="J67" s="175"/>
      <c r="K67" s="175"/>
      <c r="L67" s="175"/>
      <c r="M67" s="175"/>
    </row>
    <row r="68" spans="1:13" ht="11.25">
      <c r="A68" s="303" t="s">
        <v>239</v>
      </c>
      <c r="B68" s="165"/>
      <c r="C68" s="457">
        <v>0.25</v>
      </c>
      <c r="D68" s="175"/>
      <c r="E68" s="175"/>
      <c r="F68" s="175"/>
      <c r="G68" s="175"/>
      <c r="H68" s="175"/>
      <c r="I68" s="175"/>
      <c r="J68" s="175"/>
      <c r="K68" s="175"/>
      <c r="L68" s="175"/>
      <c r="M68" s="175"/>
    </row>
    <row r="69" spans="1:13" ht="11.25">
      <c r="A69" s="164" t="s">
        <v>241</v>
      </c>
      <c r="B69" s="165"/>
      <c r="C69" s="458"/>
      <c r="D69" s="175"/>
      <c r="E69" s="175"/>
      <c r="F69" s="175"/>
      <c r="G69" s="175"/>
      <c r="H69" s="175"/>
      <c r="I69" s="175"/>
      <c r="J69" s="175"/>
      <c r="K69" s="175"/>
      <c r="L69" s="175"/>
      <c r="M69" s="175"/>
    </row>
    <row r="70" spans="1:13" ht="11.25">
      <c r="A70" s="303" t="s">
        <v>243</v>
      </c>
      <c r="B70" s="165"/>
      <c r="C70" s="459">
        <v>0.33333000000000002</v>
      </c>
      <c r="D70" s="460" t="s">
        <v>259</v>
      </c>
      <c r="E70" s="175"/>
      <c r="F70" s="175"/>
      <c r="G70" s="175"/>
      <c r="H70" s="175"/>
      <c r="I70" s="175"/>
      <c r="J70" s="175"/>
      <c r="K70" s="175"/>
      <c r="L70" s="175"/>
      <c r="M70" s="175"/>
    </row>
    <row r="71" spans="1:13" ht="11.25">
      <c r="A71" s="303" t="s">
        <v>244</v>
      </c>
      <c r="B71" s="165"/>
      <c r="C71" s="459">
        <f>100%/3</f>
        <v>0.33333333333333331</v>
      </c>
      <c r="D71" s="175"/>
      <c r="E71" s="175"/>
      <c r="F71" s="175"/>
      <c r="G71" s="175"/>
      <c r="H71" s="175"/>
      <c r="I71" s="175"/>
      <c r="J71" s="175"/>
      <c r="K71" s="175"/>
      <c r="L71" s="175"/>
      <c r="M71" s="175"/>
    </row>
    <row r="72" spans="1:13" ht="11.25">
      <c r="A72" s="303" t="s">
        <v>245</v>
      </c>
      <c r="B72" s="165"/>
      <c r="C72" s="459">
        <f>100%/3</f>
        <v>0.33333333333333331</v>
      </c>
      <c r="D72" s="175"/>
      <c r="E72" s="175"/>
      <c r="F72" s="175"/>
      <c r="G72" s="175"/>
      <c r="H72" s="175"/>
      <c r="I72" s="175"/>
      <c r="J72" s="175"/>
      <c r="K72" s="175"/>
      <c r="L72" s="175"/>
      <c r="M72" s="175"/>
    </row>
    <row r="73" spans="1:13" ht="11.25">
      <c r="A73" s="303" t="s">
        <v>246</v>
      </c>
      <c r="B73" s="165"/>
      <c r="C73" s="459">
        <f>100%/3</f>
        <v>0.33333333333333331</v>
      </c>
      <c r="D73" s="175"/>
      <c r="E73" s="175"/>
      <c r="F73" s="175"/>
      <c r="G73" s="175"/>
      <c r="H73" s="175"/>
      <c r="I73" s="175"/>
      <c r="J73" s="175"/>
      <c r="K73" s="175"/>
      <c r="L73" s="175"/>
      <c r="M73" s="175"/>
    </row>
    <row r="74" spans="1:13" ht="11.25">
      <c r="A74" s="174"/>
      <c r="B74" s="174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</row>
    <row r="75" spans="1:13" ht="11.25">
      <c r="A75" s="371" t="s">
        <v>260</v>
      </c>
      <c r="B75" s="165"/>
      <c r="C75" s="372">
        <f>+FSE!F8</f>
        <v>12</v>
      </c>
      <c r="D75" s="175"/>
      <c r="E75" s="175"/>
      <c r="F75" s="175"/>
      <c r="G75" s="175"/>
      <c r="H75" s="175"/>
      <c r="I75" s="175"/>
      <c r="J75" s="175"/>
      <c r="K75" s="175"/>
      <c r="L75" s="175"/>
      <c r="M75" s="175"/>
    </row>
    <row r="76" spans="1:13" ht="11.25">
      <c r="A76" s="174"/>
      <c r="B76" s="174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</row>
    <row r="77" spans="1:13" ht="11.25" hidden="1">
      <c r="A77" s="177" t="s">
        <v>261</v>
      </c>
      <c r="B77" s="178"/>
      <c r="C77" s="163">
        <f>+C7</f>
        <v>2020</v>
      </c>
      <c r="D77" s="163">
        <f t="shared" ref="D77:M77" si="30">+C77+1</f>
        <v>2021</v>
      </c>
      <c r="E77" s="163">
        <f t="shared" si="30"/>
        <v>2022</v>
      </c>
      <c r="F77" s="163">
        <f t="shared" si="30"/>
        <v>2023</v>
      </c>
      <c r="G77" s="163">
        <f t="shared" si="30"/>
        <v>2024</v>
      </c>
      <c r="H77" s="163">
        <f t="shared" si="30"/>
        <v>2025</v>
      </c>
      <c r="I77" s="163">
        <f t="shared" si="30"/>
        <v>2026</v>
      </c>
      <c r="J77" s="163">
        <f t="shared" si="30"/>
        <v>2027</v>
      </c>
      <c r="K77" s="163">
        <f t="shared" si="30"/>
        <v>2028</v>
      </c>
      <c r="L77" s="163">
        <f t="shared" si="30"/>
        <v>2029</v>
      </c>
      <c r="M77" s="163">
        <f t="shared" si="30"/>
        <v>2030</v>
      </c>
    </row>
    <row r="78" spans="1:13" ht="11.25" hidden="1">
      <c r="A78" s="323" t="s">
        <v>227</v>
      </c>
      <c r="B78" s="165"/>
      <c r="C78" s="461"/>
      <c r="D78" s="461"/>
      <c r="E78" s="461"/>
      <c r="F78" s="461"/>
      <c r="G78" s="461"/>
      <c r="H78" s="461"/>
      <c r="I78" s="461"/>
      <c r="J78" s="461"/>
      <c r="K78" s="461"/>
      <c r="L78" s="461"/>
      <c r="M78" s="461"/>
    </row>
    <row r="79" spans="1:13" ht="11.25" hidden="1">
      <c r="A79" s="315" t="s">
        <v>229</v>
      </c>
      <c r="B79" s="316">
        <f>+C60</f>
        <v>0.02</v>
      </c>
      <c r="C79" s="317">
        <f>SUM(C80:C85)</f>
        <v>0</v>
      </c>
      <c r="D79" s="317">
        <f>SUM(D80:D85)</f>
        <v>0</v>
      </c>
      <c r="E79" s="317">
        <f>SUM(E80:E85)</f>
        <v>0</v>
      </c>
      <c r="F79" s="317">
        <f t="shared" ref="F79:K79" si="31">SUM(F80:F85)</f>
        <v>0</v>
      </c>
      <c r="G79" s="317">
        <f t="shared" si="31"/>
        <v>0</v>
      </c>
      <c r="H79" s="317">
        <f t="shared" si="31"/>
        <v>0</v>
      </c>
      <c r="I79" s="317">
        <f t="shared" si="31"/>
        <v>0</v>
      </c>
      <c r="J79" s="317">
        <f t="shared" si="31"/>
        <v>0</v>
      </c>
      <c r="K79" s="317">
        <f t="shared" si="31"/>
        <v>0</v>
      </c>
      <c r="L79" s="317">
        <f>SUM(L80:L85)</f>
        <v>0</v>
      </c>
      <c r="M79" s="317">
        <f>SUM(M80:M85)</f>
        <v>0</v>
      </c>
    </row>
    <row r="80" spans="1:13" ht="11.25" hidden="1">
      <c r="A80" s="318">
        <f>C77</f>
        <v>2020</v>
      </c>
      <c r="B80" s="316"/>
      <c r="C80" s="317">
        <f>+IF(C$10&lt;0,0,C$10*$B$79)/12*C75</f>
        <v>0</v>
      </c>
      <c r="D80" s="317">
        <f>+IF(C10=0,0,+IF(ROUNDUP(SUM($C80:C80),0)&lt;$C$10,$C$10*$B$79,0))</f>
        <v>0</v>
      </c>
      <c r="E80" s="317">
        <f>+IF(D80=0,0,+IF(ROUNDUP(SUM($C80:D80),0)&lt;$C$10,$C$10*$B$79,0))</f>
        <v>0</v>
      </c>
      <c r="F80" s="450">
        <f>+IF(E80=0,0,+IF(ROUNDUP(SUM($C80:E80),0)&lt;$C$10,MIN(($C10-SUM($C80:E80)),$C$10*$B$79),0))</f>
        <v>0</v>
      </c>
      <c r="G80" s="450">
        <f>+IF(F80=0,0,+IF(ROUNDUP(SUM($C80:F80),0)&lt;$C$10,MIN(($C10-SUM($C80:F80)),$C$10*$B$79),0))</f>
        <v>0</v>
      </c>
      <c r="H80" s="450">
        <f>+IF(G80=0,0,+IF(ROUNDUP(SUM($C80:G80),0)&lt;$C$10,MIN(($C10-SUM($C80:G80)),$C$10*$B$79),0))</f>
        <v>0</v>
      </c>
      <c r="I80" s="450">
        <f>+IF(H80=0,0,+IF(ROUNDUP(SUM($C80:H80),0)&lt;$C$10,MIN(($C10-SUM($C80:H80)),$C$10*$B$79),0))</f>
        <v>0</v>
      </c>
      <c r="J80" s="450">
        <f>+IF(I80=0,0,+IF(ROUNDUP(SUM($C80:I80),0)&lt;$C$10,MIN(($C10-SUM($C80:I80)),$C$10*$B$79),0))</f>
        <v>0</v>
      </c>
      <c r="K80" s="450">
        <f>+IF(J80=0,0,+IF(ROUNDUP(SUM($C80:J80),0)&lt;$C$10,MIN(($C10-SUM($C80:J80)),$C$10*$B$79),0))</f>
        <v>0</v>
      </c>
      <c r="L80" s="450">
        <f>+IF(K80=0,0,+IF(ROUNDUP(SUM($C80:K80),0)&lt;$C$10,MIN(($C10-SUM($C80:K80)),$C$10*$B$79),0))</f>
        <v>0</v>
      </c>
      <c r="M80" s="450">
        <f>+IF(L80=0,0,+IF(ROUNDUP(SUM($C80:L80),0)&lt;$C$10,MIN(($C10-SUM($C80:L80)),$C$10*$B$79),0))</f>
        <v>0</v>
      </c>
    </row>
    <row r="81" spans="1:13" ht="11.25" hidden="1">
      <c r="A81" s="318">
        <f>A80+1</f>
        <v>2021</v>
      </c>
      <c r="B81" s="316"/>
      <c r="C81" s="317"/>
      <c r="D81" s="317">
        <f>+IF(D$10&lt;0,0,D$10*$B$79)</f>
        <v>0</v>
      </c>
      <c r="E81" s="317">
        <f>+IF(D81=0,0,+IF(ROUNDUP(SUM($D81:D81),0)&lt;$D$10,$D$10*$B$79,0))</f>
        <v>0</v>
      </c>
      <c r="F81" s="317">
        <f>+IF(E81=0,0,+IF(ROUNDUP(SUM($D81:E81),0)&lt;$D$10,$D$10*$B$79,0))</f>
        <v>0</v>
      </c>
      <c r="G81" s="317">
        <f>+IF(F81=0,0,+IF(ROUNDUP(SUM($D81:F81),0)&lt;$D$10,$D$10*$B$79,0))</f>
        <v>0</v>
      </c>
      <c r="H81" s="317">
        <f>+IF(G81=0,0,+IF(ROUNDUP(SUM($D81:G81),0)&lt;$D$10,$D$10*$B$79,0))</f>
        <v>0</v>
      </c>
      <c r="I81" s="317">
        <f>+IF(H81=0,0,+IF(ROUNDUP(SUM($D81:H81),0)&lt;$D$10,$D$10*$B$79,0))</f>
        <v>0</v>
      </c>
      <c r="J81" s="317">
        <f>+IF(I81=0,0,+IF(ROUNDUP(SUM($D81:I81),0)&lt;$D$10,$D$10*$B$79,0))</f>
        <v>0</v>
      </c>
      <c r="K81" s="317">
        <f>+IF(J81=0,0,+IF(ROUNDUP(SUM($D81:J81),0)&lt;$D$10,$D$10*$B$79,0))</f>
        <v>0</v>
      </c>
      <c r="L81" s="317">
        <f>+IF(K81=0,0,+IF(ROUNDUP(SUM($D81:K81),0)&lt;$D$10,$D$10*$B$79,0))</f>
        <v>0</v>
      </c>
      <c r="M81" s="317">
        <f>+IF(L81=0,0,+IF(ROUNDUP(SUM($D81:L81),0)&lt;$D$10,$D$10*$B$79,0))</f>
        <v>0</v>
      </c>
    </row>
    <row r="82" spans="1:13" ht="11.25" hidden="1">
      <c r="A82" s="318">
        <f>A81+1</f>
        <v>2022</v>
      </c>
      <c r="B82" s="316"/>
      <c r="C82" s="317"/>
      <c r="D82" s="317"/>
      <c r="E82" s="317">
        <f>+IF(E$10&lt;0,0,E$10*$B$79)</f>
        <v>0</v>
      </c>
      <c r="F82" s="317">
        <f t="shared" ref="F82:M82" si="32">+IF(F$10&lt;0,0,F$10*$B$79)</f>
        <v>0</v>
      </c>
      <c r="G82" s="317">
        <f t="shared" si="32"/>
        <v>0</v>
      </c>
      <c r="H82" s="317">
        <f t="shared" si="32"/>
        <v>0</v>
      </c>
      <c r="I82" s="317">
        <f t="shared" si="32"/>
        <v>0</v>
      </c>
      <c r="J82" s="317">
        <f t="shared" si="32"/>
        <v>0</v>
      </c>
      <c r="K82" s="317">
        <f>+IF(K$10&lt;0,0,K$10*$B$79)</f>
        <v>0</v>
      </c>
      <c r="L82" s="317">
        <f t="shared" si="32"/>
        <v>0</v>
      </c>
      <c r="M82" s="317">
        <f t="shared" si="32"/>
        <v>0</v>
      </c>
    </row>
    <row r="83" spans="1:13" ht="11.25" hidden="1">
      <c r="A83" s="318">
        <f>A82+1</f>
        <v>2023</v>
      </c>
      <c r="B83" s="316"/>
      <c r="C83" s="317"/>
      <c r="D83" s="317"/>
      <c r="E83" s="317"/>
      <c r="F83" s="317"/>
      <c r="G83" s="317"/>
      <c r="H83" s="317"/>
      <c r="I83" s="317"/>
      <c r="J83" s="317"/>
      <c r="K83" s="317"/>
      <c r="L83" s="317"/>
      <c r="M83" s="317"/>
    </row>
    <row r="84" spans="1:13" ht="11.25" hidden="1">
      <c r="A84" s="318">
        <f>A83+1</f>
        <v>2024</v>
      </c>
      <c r="B84" s="316"/>
      <c r="C84" s="317"/>
      <c r="D84" s="317"/>
      <c r="E84" s="317"/>
      <c r="F84" s="317"/>
      <c r="G84" s="317"/>
      <c r="H84" s="317"/>
      <c r="I84" s="317"/>
      <c r="J84" s="317"/>
      <c r="K84" s="317"/>
      <c r="L84" s="317"/>
      <c r="M84" s="317"/>
    </row>
    <row r="85" spans="1:13" ht="11.25" hidden="1">
      <c r="A85" s="318">
        <f>A84+1</f>
        <v>2025</v>
      </c>
      <c r="B85" s="316"/>
      <c r="C85" s="317"/>
      <c r="D85" s="317"/>
      <c r="E85" s="317"/>
      <c r="F85" s="317"/>
      <c r="G85" s="317"/>
      <c r="H85" s="317"/>
      <c r="I85" s="317"/>
      <c r="J85" s="317"/>
      <c r="K85" s="317"/>
      <c r="L85" s="317"/>
      <c r="M85" s="317"/>
    </row>
    <row r="86" spans="1:13" ht="11.25" hidden="1">
      <c r="A86" s="315" t="s">
        <v>230</v>
      </c>
      <c r="B86" s="316">
        <f>+C61</f>
        <v>0.1</v>
      </c>
      <c r="C86" s="317">
        <f>SUM(C87:C92)</f>
        <v>0</v>
      </c>
      <c r="D86" s="317">
        <f>SUM(D87:D92)</f>
        <v>0</v>
      </c>
      <c r="E86" s="317">
        <f>SUM(E87:E92)</f>
        <v>0</v>
      </c>
      <c r="F86" s="317">
        <f t="shared" ref="F86:K86" si="33">SUM(F87:F92)</f>
        <v>0</v>
      </c>
      <c r="G86" s="317">
        <f t="shared" si="33"/>
        <v>0</v>
      </c>
      <c r="H86" s="317">
        <f t="shared" si="33"/>
        <v>0</v>
      </c>
      <c r="I86" s="317">
        <f t="shared" si="33"/>
        <v>0</v>
      </c>
      <c r="J86" s="317">
        <f t="shared" si="33"/>
        <v>0</v>
      </c>
      <c r="K86" s="317">
        <f t="shared" si="33"/>
        <v>0</v>
      </c>
      <c r="L86" s="317">
        <f>SUM(L87:L92)</f>
        <v>0</v>
      </c>
      <c r="M86" s="317">
        <f>SUM(M87:M92)</f>
        <v>0</v>
      </c>
    </row>
    <row r="87" spans="1:13" ht="11.25" hidden="1">
      <c r="A87" s="318">
        <f t="shared" ref="A87:A92" si="34">A80</f>
        <v>2020</v>
      </c>
      <c r="B87" s="316"/>
      <c r="C87" s="317">
        <f>+IF(C$11&lt;0,0,C$11*$B$86)</f>
        <v>0</v>
      </c>
      <c r="D87" s="317">
        <f>+IF(C11=0,0,+IF(ROUNDUP(SUM($C87:C87),0)&lt;$C$11,$C$11*$B$86,0))</f>
        <v>0</v>
      </c>
      <c r="E87" s="317">
        <f>+IF(D87=0,0,+IF(ROUNDUP(SUM($C87:D87),0)&lt;$C$11,$C$11*$B$86,0))</f>
        <v>0</v>
      </c>
      <c r="F87" s="451">
        <f>+IF(E87=0,0,+IF(ROUNDUP(SUM($C87:E87),0)&lt;$C$11,MIN(($C11-SUM($C87:E87)),$C$11*$B$86),0))</f>
        <v>0</v>
      </c>
      <c r="G87" s="451">
        <f>+IF(F87=0,0,+IF(ROUNDUP(SUM($C87:F87),0)&lt;$C$11,MIN(($C11-SUM($C87:F87)),$C$11*$B$86),0))</f>
        <v>0</v>
      </c>
      <c r="H87" s="451">
        <f>+IF(G87=0,0,+IF(ROUNDUP(SUM($C87:G87),0)&lt;$C$11,MIN(($C11-SUM($C87:G87)),$C$11*$B$86),0))</f>
        <v>0</v>
      </c>
      <c r="I87" s="451">
        <f>+IF(H87=0,0,+IF(ROUNDUP(SUM($C87:H87),0)&lt;$C$11,MIN(($C11-SUM($C87:H87)),$C$11*$B$86),0))</f>
        <v>0</v>
      </c>
      <c r="J87" s="451">
        <f>+IF(I87=0,0,+IF(ROUNDUP(SUM($C87:I87),0)&lt;$C$11,MIN(($C11-SUM($C87:I87)),$C$11*$B$86),0))</f>
        <v>0</v>
      </c>
      <c r="K87" s="451">
        <f>+IF(J87=0,0,+IF(ROUNDUP(SUM($C87:J87),0)&lt;$C$11,MIN(($C11-SUM($C87:J87)),$C$11*$B$86),0))</f>
        <v>0</v>
      </c>
      <c r="L87" s="451">
        <f>+IF(K87=0,0,+IF(ROUNDUP(SUM($C87:K87),0)&lt;$C$11,MIN(($C11-SUM($C87:K87)),$C$11*$B$86),0))</f>
        <v>0</v>
      </c>
      <c r="M87" s="451">
        <f>+IF(L87=0,0,+IF(ROUNDUP(SUM($C87:L87),0)&lt;$C$11,MIN(($C11-SUM($C87:L87)),$C$11*$B$86),0))</f>
        <v>0</v>
      </c>
    </row>
    <row r="88" spans="1:13" ht="11.25" hidden="1">
      <c r="A88" s="318">
        <f t="shared" si="34"/>
        <v>2021</v>
      </c>
      <c r="B88" s="316"/>
      <c r="C88" s="317"/>
      <c r="D88" s="317">
        <f>+IF(D$11&lt;0,0,D$11*$B$86)</f>
        <v>0</v>
      </c>
      <c r="E88" s="317">
        <f>+IF(D88=0,0,+IF(ROUNDUP(SUM($D88:D88),0)&lt;$D$11,$D$11*$B$86,0))</f>
        <v>0</v>
      </c>
      <c r="F88" s="317">
        <f>+IF(E88=0,0,+IF(ROUNDUP(SUM($D88:E88),0)&lt;$D$11,$D$11*$B$86,0))</f>
        <v>0</v>
      </c>
      <c r="G88" s="317">
        <f>+IF(F88=0,0,+IF(ROUNDUP(SUM($D88:F88),0)&lt;$D$11,$D$11*$B$86,0))</f>
        <v>0</v>
      </c>
      <c r="H88" s="317">
        <f>+IF(G88=0,0,+IF(ROUNDUP(SUM($D88:G88),0)&lt;$D$11,$D$11*$B$86,0))</f>
        <v>0</v>
      </c>
      <c r="I88" s="317">
        <f>+IF(H88=0,0,+IF(ROUNDUP(SUM($D88:H88),0)&lt;$D$11,$D$11*$B$86,0))</f>
        <v>0</v>
      </c>
      <c r="J88" s="317">
        <f>+IF(I88=0,0,+IF(ROUNDUP(SUM($D88:I88),0)&lt;$D$11,$D$11*$B$86,0))</f>
        <v>0</v>
      </c>
      <c r="K88" s="317">
        <f>+IF(J88=0,0,+IF(ROUNDUP(SUM($D88:J88),0)&lt;$D$11,$D$11*$B$86,0))</f>
        <v>0</v>
      </c>
      <c r="L88" s="317">
        <f>+IF(K88=0,0,+IF(ROUNDUP(SUM($D88:K88),0)&lt;$D$11,$D$11*$B$86,0))</f>
        <v>0</v>
      </c>
      <c r="M88" s="317">
        <f>+IF(L88=0,0,+IF(ROUNDUP(SUM($D88:L88),0)&lt;$D$11,$D$11*$B$86,0))</f>
        <v>0</v>
      </c>
    </row>
    <row r="89" spans="1:13" ht="11.25" hidden="1">
      <c r="A89" s="318">
        <f t="shared" si="34"/>
        <v>2022</v>
      </c>
      <c r="B89" s="316"/>
      <c r="C89" s="317"/>
      <c r="D89" s="317"/>
      <c r="E89" s="317">
        <f>+IF(E$11&lt;0,0,E$11*$B$86)</f>
        <v>0</v>
      </c>
      <c r="F89" s="317">
        <f t="shared" ref="F89:M89" si="35">+IF(F$11&lt;0,0,F$11*$B$86)</f>
        <v>0</v>
      </c>
      <c r="G89" s="317">
        <f t="shared" si="35"/>
        <v>0</v>
      </c>
      <c r="H89" s="317">
        <f t="shared" si="35"/>
        <v>0</v>
      </c>
      <c r="I89" s="317">
        <f t="shared" si="35"/>
        <v>0</v>
      </c>
      <c r="J89" s="317">
        <f t="shared" si="35"/>
        <v>0</v>
      </c>
      <c r="K89" s="317">
        <f>+IF(K$11&lt;0,0,K$11*$B$86)</f>
        <v>0</v>
      </c>
      <c r="L89" s="317">
        <f t="shared" si="35"/>
        <v>0</v>
      </c>
      <c r="M89" s="317">
        <f t="shared" si="35"/>
        <v>0</v>
      </c>
    </row>
    <row r="90" spans="1:13" ht="11.25" hidden="1">
      <c r="A90" s="318">
        <f t="shared" si="34"/>
        <v>2023</v>
      </c>
      <c r="B90" s="316"/>
      <c r="C90" s="317"/>
      <c r="D90" s="317"/>
      <c r="E90" s="317"/>
      <c r="F90" s="317"/>
      <c r="G90" s="317"/>
      <c r="H90" s="317"/>
      <c r="I90" s="317"/>
      <c r="J90" s="317"/>
      <c r="K90" s="317"/>
      <c r="L90" s="317"/>
      <c r="M90" s="317"/>
    </row>
    <row r="91" spans="1:13" ht="11.25" hidden="1">
      <c r="A91" s="318">
        <f t="shared" si="34"/>
        <v>2024</v>
      </c>
      <c r="B91" s="316"/>
      <c r="C91" s="317"/>
      <c r="D91" s="317"/>
      <c r="E91" s="317"/>
      <c r="F91" s="317"/>
      <c r="G91" s="317"/>
      <c r="H91" s="317"/>
      <c r="I91" s="317"/>
      <c r="J91" s="317"/>
      <c r="K91" s="317"/>
      <c r="L91" s="317"/>
      <c r="M91" s="317"/>
    </row>
    <row r="92" spans="1:13" ht="11.25" hidden="1">
      <c r="A92" s="318">
        <f t="shared" si="34"/>
        <v>2025</v>
      </c>
      <c r="B92" s="316"/>
      <c r="C92" s="317"/>
      <c r="D92" s="317"/>
      <c r="E92" s="317"/>
      <c r="F92" s="317"/>
      <c r="G92" s="317"/>
      <c r="H92" s="317"/>
      <c r="I92" s="317"/>
      <c r="J92" s="317"/>
      <c r="K92" s="317"/>
      <c r="L92" s="317"/>
      <c r="M92" s="317"/>
    </row>
    <row r="93" spans="1:13" ht="11.25" hidden="1">
      <c r="A93" s="559" t="s">
        <v>141</v>
      </c>
      <c r="B93" s="560"/>
      <c r="C93" s="326">
        <f>+C79+C86</f>
        <v>0</v>
      </c>
      <c r="D93" s="326">
        <f>+D79+D86</f>
        <v>0</v>
      </c>
      <c r="E93" s="326">
        <f>+E79+E86</f>
        <v>0</v>
      </c>
      <c r="F93" s="326">
        <f t="shared" ref="F93:K93" si="36">+F79+F86</f>
        <v>0</v>
      </c>
      <c r="G93" s="326">
        <f t="shared" si="36"/>
        <v>0</v>
      </c>
      <c r="H93" s="326">
        <f t="shared" si="36"/>
        <v>0</v>
      </c>
      <c r="I93" s="326">
        <f t="shared" si="36"/>
        <v>0</v>
      </c>
      <c r="J93" s="326">
        <f t="shared" si="36"/>
        <v>0</v>
      </c>
      <c r="K93" s="326">
        <f t="shared" si="36"/>
        <v>0</v>
      </c>
      <c r="L93" s="326">
        <f>+L79+L86</f>
        <v>0</v>
      </c>
      <c r="M93" s="326">
        <f>+M79+M86</f>
        <v>0</v>
      </c>
    </row>
    <row r="94" spans="1:13" ht="11.25" hidden="1">
      <c r="A94" s="323" t="s">
        <v>232</v>
      </c>
      <c r="B94" s="165"/>
      <c r="C94" s="461"/>
      <c r="D94" s="461"/>
      <c r="E94" s="461"/>
      <c r="F94" s="461"/>
      <c r="G94" s="461"/>
      <c r="H94" s="461"/>
      <c r="I94" s="461"/>
      <c r="J94" s="461"/>
      <c r="K94" s="461"/>
      <c r="L94" s="461"/>
      <c r="M94" s="461"/>
    </row>
    <row r="95" spans="1:13" ht="11.25" hidden="1">
      <c r="A95" s="315" t="s">
        <v>234</v>
      </c>
      <c r="B95" s="316">
        <f>+C63</f>
        <v>0.02</v>
      </c>
      <c r="C95" s="317">
        <f>SUM(C96:C101)</f>
        <v>0</v>
      </c>
      <c r="D95" s="317">
        <f>SUM(D96:D101)</f>
        <v>0</v>
      </c>
      <c r="E95" s="317">
        <f>SUM(E96:E101)</f>
        <v>0</v>
      </c>
      <c r="F95" s="317">
        <f t="shared" ref="F95:K95" si="37">SUM(F96:F101)</f>
        <v>0</v>
      </c>
      <c r="G95" s="317">
        <f t="shared" si="37"/>
        <v>0</v>
      </c>
      <c r="H95" s="317">
        <f t="shared" si="37"/>
        <v>0</v>
      </c>
      <c r="I95" s="317">
        <f t="shared" si="37"/>
        <v>0</v>
      </c>
      <c r="J95" s="317">
        <f t="shared" si="37"/>
        <v>0</v>
      </c>
      <c r="K95" s="317">
        <f t="shared" si="37"/>
        <v>0</v>
      </c>
      <c r="L95" s="317">
        <f>SUM(L96:L101)</f>
        <v>0</v>
      </c>
      <c r="M95" s="317">
        <f>SUM(M96:M101)</f>
        <v>0</v>
      </c>
    </row>
    <row r="96" spans="1:13" ht="11.25" hidden="1">
      <c r="A96" s="318">
        <f t="shared" ref="A96:A101" si="38">A87</f>
        <v>2020</v>
      </c>
      <c r="B96" s="316"/>
      <c r="C96" s="317">
        <f>+IF(C$15&lt;0,0,C$15*$B$95)/12*C75</f>
        <v>0</v>
      </c>
      <c r="D96" s="317">
        <f>+IF(C15=0,0,+IF(ROUNDUP(SUM($C96:C96),0)&lt;$C$15,$C$15*$B$95,0))</f>
        <v>0</v>
      </c>
      <c r="E96" s="448">
        <f>+IF(D96=0,0,+IF(ROUNDUP(SUM($C96:D96),0)&lt;$C$15,$C$15*$B$95,0))</f>
        <v>0</v>
      </c>
      <c r="F96" s="449">
        <f>+IF(E96=0,0,+IF(ROUNDUP(SUM($C96:E96),0)&lt;$C$15,MIN(($C15-SUM($C96:E96)),$C$15*$B$95),0))</f>
        <v>0</v>
      </c>
      <c r="G96" s="449">
        <f>+IF(F96=0,0,+IF(ROUNDUP(SUM($C96:F96),0)&lt;$C$15,MIN(($C15-SUM($C96:F96)),$C$15*$B$95),0))</f>
        <v>0</v>
      </c>
      <c r="H96" s="449">
        <f>+IF(G96=0,0,+IF(ROUNDUP(SUM($C96:G96),0)&lt;$C$15,MIN(($C15-SUM($C96:G96)),$C$15*$B$95),0))</f>
        <v>0</v>
      </c>
      <c r="I96" s="449">
        <f>+IF(H96=0,0,+IF(ROUNDUP(SUM($C96:H96),0)&lt;$C$15,MIN(($C15-SUM($C96:H96)),$C$15*$B$95),0))</f>
        <v>0</v>
      </c>
      <c r="J96" s="449">
        <f>+IF(I96=0,0,+IF(ROUNDUP(SUM($C96:I96),0)&lt;$C$15,MIN(($C15-SUM($C96:I96)),$C$15*$B$95),0))</f>
        <v>0</v>
      </c>
      <c r="K96" s="449">
        <f>+IF(J96=0,0,+IF(ROUNDUP(SUM($C96:J96),0)&lt;$C$15,MIN(($C15-SUM($C96:J96)),$C$15*$B$95),0))</f>
        <v>0</v>
      </c>
      <c r="L96" s="449">
        <f>+IF(K96=0,0,+IF(ROUNDUP(SUM($C96:K96),0)&lt;$C$15,MIN(($C15-SUM($C96:K96)),$C$15*$B$95),0))</f>
        <v>0</v>
      </c>
      <c r="M96" s="449">
        <f>+IF(L96=0,0,+IF(ROUNDUP(SUM($C96:L96),0)&lt;$C$15,MIN(($C15-SUM($C96:L96)),$C$15*$B$95),0))</f>
        <v>0</v>
      </c>
    </row>
    <row r="97" spans="1:13" ht="11.25" hidden="1">
      <c r="A97" s="318">
        <f t="shared" si="38"/>
        <v>2021</v>
      </c>
      <c r="B97" s="316"/>
      <c r="C97" s="317"/>
      <c r="D97" s="317">
        <f>+IF(D$15&lt;0,0,D$15*$B$95)</f>
        <v>0</v>
      </c>
      <c r="E97" s="317">
        <f>+IF(D97=0,0,+IF(ROUNDUP(SUM($D97:D97),0)&lt;$D$15,$D$15*$B$95,0))</f>
        <v>0</v>
      </c>
      <c r="F97" s="317">
        <f>+IF(E97=0,0,+IF(ROUNDUP(SUM($D97:E97),0)&lt;$D$15,$D$15*$B$95,0))</f>
        <v>0</v>
      </c>
      <c r="G97" s="317">
        <f>+IF(F97=0,0,+IF(ROUNDUP(SUM($D97:F97),0)&lt;$D$15,$D$15*$B$95,0))</f>
        <v>0</v>
      </c>
      <c r="H97" s="317">
        <f>+IF(G97=0,0,+IF(ROUNDUP(SUM($D97:G97),0)&lt;$D$15,$D$15*$B$95,0))</f>
        <v>0</v>
      </c>
      <c r="I97" s="317">
        <f>+IF(H97=0,0,+IF(ROUNDUP(SUM($D97:H97),0)&lt;$D$15,$D$15*$B$95,0))</f>
        <v>0</v>
      </c>
      <c r="J97" s="317">
        <f>+IF(I97=0,0,+IF(ROUNDUP(SUM($D97:I97),0)&lt;$D$15,$D$15*$B$95,0))</f>
        <v>0</v>
      </c>
      <c r="K97" s="317">
        <f>+IF(J97=0,0,+IF(ROUNDUP(SUM($D97:J97),0)&lt;$D$15,$D$15*$B$95,0))</f>
        <v>0</v>
      </c>
      <c r="L97" s="317">
        <f>+IF(K97=0,0,+IF(ROUNDUP(SUM($D97:K97),0)&lt;$D$15,$D$15*$B$95,0))</f>
        <v>0</v>
      </c>
      <c r="M97" s="317">
        <f>+IF(L97=0,0,+IF(ROUNDUP(SUM($D97:L97),0)&lt;$D$15,$D$15*$B$95,0))</f>
        <v>0</v>
      </c>
    </row>
    <row r="98" spans="1:13" ht="11.25" hidden="1">
      <c r="A98" s="318">
        <f t="shared" si="38"/>
        <v>2022</v>
      </c>
      <c r="B98" s="316"/>
      <c r="C98" s="317"/>
      <c r="D98" s="317"/>
      <c r="E98" s="317">
        <f>+IF(E$15&lt;0,0,E$15*$B$95)</f>
        <v>0</v>
      </c>
      <c r="F98" s="317">
        <f t="shared" ref="F98:M98" si="39">+IF(F$15&lt;0,0,F$15*$B$95)</f>
        <v>0</v>
      </c>
      <c r="G98" s="317">
        <f t="shared" si="39"/>
        <v>0</v>
      </c>
      <c r="H98" s="317">
        <f t="shared" si="39"/>
        <v>0</v>
      </c>
      <c r="I98" s="317">
        <f t="shared" si="39"/>
        <v>0</v>
      </c>
      <c r="J98" s="317">
        <f t="shared" si="39"/>
        <v>0</v>
      </c>
      <c r="K98" s="317">
        <f>+IF(K$15&lt;0,0,K$15*$B$95)</f>
        <v>0</v>
      </c>
      <c r="L98" s="317">
        <f t="shared" si="39"/>
        <v>0</v>
      </c>
      <c r="M98" s="317">
        <f t="shared" si="39"/>
        <v>0</v>
      </c>
    </row>
    <row r="99" spans="1:13" ht="11.25" hidden="1">
      <c r="A99" s="318">
        <f t="shared" si="38"/>
        <v>2023</v>
      </c>
      <c r="B99" s="316"/>
      <c r="C99" s="317"/>
      <c r="D99" s="317"/>
      <c r="E99" s="317"/>
      <c r="F99" s="317"/>
      <c r="G99" s="317"/>
      <c r="H99" s="317"/>
      <c r="I99" s="317"/>
      <c r="J99" s="317"/>
      <c r="K99" s="317"/>
      <c r="L99" s="317"/>
      <c r="M99" s="317"/>
    </row>
    <row r="100" spans="1:13" ht="11.25" hidden="1">
      <c r="A100" s="318">
        <f t="shared" si="38"/>
        <v>2024</v>
      </c>
      <c r="B100" s="316"/>
      <c r="C100" s="317"/>
      <c r="D100" s="317"/>
      <c r="E100" s="317"/>
      <c r="F100" s="317"/>
      <c r="G100" s="317"/>
      <c r="H100" s="317"/>
      <c r="I100" s="317"/>
      <c r="J100" s="317"/>
      <c r="K100" s="317"/>
      <c r="L100" s="317"/>
      <c r="M100" s="317"/>
    </row>
    <row r="101" spans="1:13" ht="11.25" hidden="1">
      <c r="A101" s="318">
        <f t="shared" si="38"/>
        <v>2025</v>
      </c>
      <c r="B101" s="316"/>
      <c r="C101" s="317"/>
      <c r="D101" s="317"/>
      <c r="E101" s="317"/>
      <c r="F101" s="317"/>
      <c r="G101" s="317"/>
      <c r="H101" s="317"/>
      <c r="I101" s="317"/>
      <c r="J101" s="317"/>
      <c r="K101" s="317"/>
      <c r="L101" s="317"/>
      <c r="M101" s="317"/>
    </row>
    <row r="102" spans="1:13" ht="11.25" hidden="1">
      <c r="A102" s="315" t="s">
        <v>262</v>
      </c>
      <c r="B102" s="316">
        <f>+C64</f>
        <v>0.2</v>
      </c>
      <c r="C102" s="317">
        <f>SUM(C103:C108)</f>
        <v>5936.0140000000001</v>
      </c>
      <c r="D102" s="317">
        <f>SUM(D103:D108)</f>
        <v>5936.0140000000001</v>
      </c>
      <c r="E102" s="317">
        <f>SUM(E103:E108)</f>
        <v>5936.0140000000001</v>
      </c>
      <c r="F102" s="317">
        <f t="shared" ref="F102:K102" si="40">SUM(F103:F108)</f>
        <v>8203.0159999999996</v>
      </c>
      <c r="G102" s="317">
        <f t="shared" si="40"/>
        <v>8203.0159999999996</v>
      </c>
      <c r="H102" s="317">
        <f t="shared" si="40"/>
        <v>0</v>
      </c>
      <c r="I102" s="317">
        <f t="shared" si="40"/>
        <v>0</v>
      </c>
      <c r="J102" s="317">
        <f t="shared" si="40"/>
        <v>0</v>
      </c>
      <c r="K102" s="317">
        <f t="shared" si="40"/>
        <v>0</v>
      </c>
      <c r="L102" s="317">
        <f>SUM(L103:L108)</f>
        <v>0</v>
      </c>
      <c r="M102" s="317">
        <f>SUM(M103:M108)</f>
        <v>0</v>
      </c>
    </row>
    <row r="103" spans="1:13" ht="11.25" hidden="1">
      <c r="A103" s="318">
        <f t="shared" ref="A103:A136" si="41">A96</f>
        <v>2020</v>
      </c>
      <c r="B103" s="316"/>
      <c r="C103" s="317">
        <f>+IF(C$16&lt;0,0,C$16*$B$102)/12*C75</f>
        <v>5936.0140000000001</v>
      </c>
      <c r="D103" s="448">
        <f>+IF(C16=0,0,+IF(ROUNDUP(SUM($C103:C103),0)&lt;$C$16,$C$16*$B$102,0))</f>
        <v>5936.0140000000001</v>
      </c>
      <c r="E103" s="317">
        <f>+IF(D103=0,0,+IF(ROUNDUP(SUM($C103:D103),0)&lt;$C$16,$C$16*$B$102,0))</f>
        <v>5936.0140000000001</v>
      </c>
      <c r="F103" s="449">
        <f>+IF(E103=0,0,+IF(ROUNDUP(SUM($C103:E103),0)&lt;$C16,MIN(($C16-SUM($C103:E103)),+$C16*$B$102),0))</f>
        <v>5936.0140000000001</v>
      </c>
      <c r="G103" s="449">
        <f>+IF(F103=0,0,+IF(ROUNDUP(SUM($C103:F103),0)&lt;$C16,MIN(($C16-SUM($C103:F103)),+$C16*$B$102),0))</f>
        <v>5936.0139999999992</v>
      </c>
      <c r="H103" s="449">
        <f>+IF(G103=0,0,+IF(ROUNDUP(SUM($C103:G103),0)&lt;$C16,MIN(($C16-SUM($C103:G103)),+$C16*$B$102),0))</f>
        <v>0</v>
      </c>
      <c r="I103" s="449">
        <f>+IF(H103=0,0,+IF(ROUNDUP(SUM($C103:H103),0)&lt;$C16,MIN(($C16-SUM($C103:H103)),+$C16*$B$102),0))</f>
        <v>0</v>
      </c>
      <c r="J103" s="449">
        <f>+IF(I103=0,0,+IF(ROUNDUP(SUM($C103:I103),0)&lt;$C16,MIN(($C16-SUM($C103:I103)),+$C16*$B$102),0))</f>
        <v>0</v>
      </c>
      <c r="K103" s="449">
        <f>+IF(J103=0,0,+IF(ROUNDUP(SUM($C103:J103),0)&lt;$C16,MIN(($C16-SUM($C103:J103)),+$C16*$B$102),0))</f>
        <v>0</v>
      </c>
      <c r="L103" s="449">
        <f>+IF(K103=0,0,+IF(ROUNDUP(SUM($C103:K103),0)&lt;$C16,MIN(($C16-SUM($C103:K103)),+$C16*$B$102),0))</f>
        <v>0</v>
      </c>
      <c r="M103" s="449">
        <f>+IF(L103=0,0,+IF(ROUNDUP(SUM($C103:L103),0)&lt;$C16,MIN(($C16-SUM($C103:L103)),+$C16*$B$102),0))</f>
        <v>0</v>
      </c>
    </row>
    <row r="104" spans="1:13" ht="11.25" hidden="1">
      <c r="A104" s="318">
        <f t="shared" si="41"/>
        <v>2021</v>
      </c>
      <c r="B104" s="316"/>
      <c r="C104" s="317"/>
      <c r="D104" s="317">
        <f>+IF(D$16&lt;0,0,D$16*$B$102)</f>
        <v>0</v>
      </c>
      <c r="E104" s="317">
        <f>+IF(D104=0,0,+IF(ROUNDUP(SUM($D104:D104),0)&lt;$D$16,$D$16*$B$102,0))</f>
        <v>0</v>
      </c>
      <c r="F104" s="317">
        <f>+IF(E104=0,0,+IF(ROUNDUP(SUM($D104:E104),0)&lt;$D$16,$D$16*$B$102,0))</f>
        <v>0</v>
      </c>
      <c r="G104" s="317">
        <f>+IF(F104=0,0,+IF(ROUNDUP(SUM($D104:F104),0)&lt;$D$16,$D$16*$B$102,0))</f>
        <v>0</v>
      </c>
      <c r="H104" s="317">
        <f>+IF(G104=0,0,+IF(ROUNDUP(SUM($D104:G104),0)&lt;$D$16,$D$16*$B$102,0))</f>
        <v>0</v>
      </c>
      <c r="I104" s="317">
        <f>+IF(H104=0,0,+IF(ROUNDUP(SUM($D104:H104),0)&lt;$D$16,$D$16*$B$102,0))</f>
        <v>0</v>
      </c>
      <c r="J104" s="317">
        <f>+IF(I104=0,0,+IF(ROUNDUP(SUM($D104:I104),0)&lt;$D$16,$D$16*$B$102,0))</f>
        <v>0</v>
      </c>
      <c r="K104" s="317">
        <f>+IF(J104=0,0,+IF(ROUNDUP(SUM($D104:J104),0)&lt;$D$16,$D$16*$B$102,0))</f>
        <v>0</v>
      </c>
      <c r="L104" s="317">
        <f>+IF(K104=0,0,+IF(ROUNDUP(SUM($D104:K104),0)&lt;$D$16,$D$16*$B$102,0))</f>
        <v>0</v>
      </c>
      <c r="M104" s="317">
        <f>+IF(L104=0,0,+IF(ROUNDUP(SUM($D104:L104),0)&lt;$D$16,$D$16*$B$102,0))</f>
        <v>0</v>
      </c>
    </row>
    <row r="105" spans="1:13" ht="11.25" hidden="1">
      <c r="A105" s="318">
        <f t="shared" si="41"/>
        <v>2022</v>
      </c>
      <c r="B105" s="316"/>
      <c r="C105" s="317"/>
      <c r="D105" s="317"/>
      <c r="E105" s="317">
        <f>+IF(E$16&lt;0,0,E$16*$B$102)</f>
        <v>0</v>
      </c>
      <c r="F105" s="317">
        <f t="shared" ref="F105:M105" si="42">+IF(F$16&lt;0,0,F$16*$B$102)</f>
        <v>2267.002</v>
      </c>
      <c r="G105" s="317">
        <f t="shared" si="42"/>
        <v>2267.002</v>
      </c>
      <c r="H105" s="317">
        <f t="shared" si="42"/>
        <v>0</v>
      </c>
      <c r="I105" s="317">
        <f t="shared" si="42"/>
        <v>0</v>
      </c>
      <c r="J105" s="317">
        <f t="shared" si="42"/>
        <v>0</v>
      </c>
      <c r="K105" s="317">
        <f>+IF(K$16&lt;0,0,K$16*$B$102)</f>
        <v>0</v>
      </c>
      <c r="L105" s="317">
        <f t="shared" si="42"/>
        <v>0</v>
      </c>
      <c r="M105" s="317">
        <f t="shared" si="42"/>
        <v>0</v>
      </c>
    </row>
    <row r="106" spans="1:13" ht="11.25" hidden="1">
      <c r="A106" s="318">
        <f t="shared" si="41"/>
        <v>2023</v>
      </c>
      <c r="B106" s="316"/>
      <c r="C106" s="317"/>
      <c r="D106" s="317"/>
      <c r="E106" s="317"/>
      <c r="F106" s="317"/>
      <c r="G106" s="317"/>
      <c r="H106" s="317"/>
      <c r="I106" s="317"/>
      <c r="J106" s="317"/>
      <c r="K106" s="317"/>
      <c r="L106" s="317"/>
      <c r="M106" s="317"/>
    </row>
    <row r="107" spans="1:13" ht="11.25" hidden="1">
      <c r="A107" s="318">
        <f t="shared" si="41"/>
        <v>2024</v>
      </c>
      <c r="B107" s="316"/>
      <c r="C107" s="317"/>
      <c r="D107" s="317"/>
      <c r="E107" s="317"/>
      <c r="F107" s="317"/>
      <c r="G107" s="317"/>
      <c r="H107" s="317"/>
      <c r="I107" s="317"/>
      <c r="J107" s="317"/>
      <c r="K107" s="317"/>
      <c r="L107" s="317"/>
      <c r="M107" s="317"/>
    </row>
    <row r="108" spans="1:13" ht="11.25" hidden="1">
      <c r="A108" s="318">
        <f t="shared" si="41"/>
        <v>2025</v>
      </c>
      <c r="B108" s="316"/>
      <c r="C108" s="317"/>
      <c r="D108" s="317"/>
      <c r="E108" s="317"/>
      <c r="F108" s="317"/>
      <c r="G108" s="317"/>
      <c r="H108" s="317"/>
      <c r="I108" s="317"/>
      <c r="J108" s="317"/>
      <c r="K108" s="317"/>
      <c r="L108" s="317"/>
      <c r="M108" s="317"/>
    </row>
    <row r="109" spans="1:13" ht="11.25" hidden="1">
      <c r="A109" s="315" t="s">
        <v>263</v>
      </c>
      <c r="B109" s="316">
        <f>+C65</f>
        <v>0.25</v>
      </c>
      <c r="C109" s="319">
        <f>SUM(C110:C115)</f>
        <v>0</v>
      </c>
      <c r="D109" s="317">
        <f>SUM(D110:D115)</f>
        <v>0</v>
      </c>
      <c r="E109" s="317">
        <f>SUM(E110:E115)</f>
        <v>0</v>
      </c>
      <c r="F109" s="317">
        <f t="shared" ref="F109:K109" si="43">SUM(F110:F115)</f>
        <v>0</v>
      </c>
      <c r="G109" s="317">
        <f t="shared" si="43"/>
        <v>0</v>
      </c>
      <c r="H109" s="317">
        <f t="shared" si="43"/>
        <v>0</v>
      </c>
      <c r="I109" s="317">
        <f t="shared" si="43"/>
        <v>0</v>
      </c>
      <c r="J109" s="317">
        <f t="shared" si="43"/>
        <v>0</v>
      </c>
      <c r="K109" s="317">
        <f t="shared" si="43"/>
        <v>0</v>
      </c>
      <c r="L109" s="317">
        <f>SUM(L110:L115)</f>
        <v>0</v>
      </c>
      <c r="M109" s="317">
        <f>SUM(M110:M115)</f>
        <v>0</v>
      </c>
    </row>
    <row r="110" spans="1:13" ht="11.25" hidden="1">
      <c r="A110" s="318">
        <f t="shared" si="41"/>
        <v>2020</v>
      </c>
      <c r="B110" s="316"/>
      <c r="C110" s="317">
        <f>+IF(C$17&lt;0,0,C$17*$B$109)/12*C75</f>
        <v>0</v>
      </c>
      <c r="D110" s="317">
        <f>+IF(C17=0,0,+IF(ROUNDUP(SUM($C110:C110),0)&lt;$C$17,$C$17*$B$109,0))</f>
        <v>0</v>
      </c>
      <c r="E110" s="317">
        <f>+IF(D110=0,0,+IF(ROUNDUP(SUM($C110:D110),0)&lt;$C$17,$C$17*$B$109,0))</f>
        <v>0</v>
      </c>
      <c r="F110" s="451">
        <f>+IF(E110=0,0,+IF(ROUNDUP(SUM($C110:E110),0)&lt;$C17,MIN(($C17-SUM($C110:E110)),+$C17*$B$109),0))</f>
        <v>0</v>
      </c>
      <c r="G110" s="451">
        <f>+IF(F110=0,0,+IF(ROUNDUP(SUM($C110:F110),0)&lt;$C17,MIN(($C17-SUM($C110:F110)),+$C17*$B$109),0))</f>
        <v>0</v>
      </c>
      <c r="H110" s="451">
        <f>+IF(G110=0,0,+IF(ROUNDUP(SUM($C110:G110),0)&lt;$C17,MIN(($C17-SUM($C110:G110)),+$C17*$B$109),0))</f>
        <v>0</v>
      </c>
      <c r="I110" s="451">
        <f>+IF(H110=0,0,+IF(ROUNDUP(SUM($C110:H110),0)&lt;$C17,MIN(($C17-SUM($C110:H110)),+$C17*$B$109),0))</f>
        <v>0</v>
      </c>
      <c r="J110" s="451">
        <f>+IF(I110=0,0,+IF(ROUNDUP(SUM($C110:I110),0)&lt;$C17,MIN(($C17-SUM($C110:I110)),+$C17*$B$109),0))</f>
        <v>0</v>
      </c>
      <c r="K110" s="451">
        <f>+IF(J110=0,0,+IF(ROUNDUP(SUM($C110:J110),0)&lt;$C17,MIN(($C17-SUM($C110:J110)),+$C17*$B$109),0))</f>
        <v>0</v>
      </c>
      <c r="L110" s="451">
        <f>+IF(K110=0,0,+IF(ROUNDUP(SUM($C110:K110),0)&lt;$C17,MIN(($C17-SUM($C110:K110)),+$C17*$B$109),0))</f>
        <v>0</v>
      </c>
      <c r="M110" s="451">
        <f>+IF(L110=0,0,+IF(ROUNDUP(SUM($C110:L110),0)&lt;$C17,MIN(($C17-SUM($C110:L110)),+$C17*$B$109),0))</f>
        <v>0</v>
      </c>
    </row>
    <row r="111" spans="1:13" ht="11.25" hidden="1">
      <c r="A111" s="318">
        <f t="shared" si="41"/>
        <v>2021</v>
      </c>
      <c r="B111" s="316"/>
      <c r="C111" s="317"/>
      <c r="D111" s="317">
        <f>+IF(D$17&lt;0,0,D$17*$B$109)</f>
        <v>0</v>
      </c>
      <c r="E111" s="317">
        <f>+IF(D111=0,0,+IF(ROUNDUP(SUM($D111:D111),0)&lt;$D$17,$D$17*$B$109,0))</f>
        <v>0</v>
      </c>
      <c r="F111" s="317">
        <f>+IF(E111=0,0,+IF(ROUNDUP(SUM($D111:E111),0)&lt;$D$17,$D$17*$B$109,0))</f>
        <v>0</v>
      </c>
      <c r="G111" s="317">
        <f>+IF(F111=0,0,+IF(ROUNDUP(SUM($D111:F111),0)&lt;$D$17,$D$17*$B$109,0))</f>
        <v>0</v>
      </c>
      <c r="H111" s="317">
        <f>+IF(G111=0,0,+IF(ROUNDUP(SUM($D111:G111),0)&lt;$D$17,$D$17*$B$109,0))</f>
        <v>0</v>
      </c>
      <c r="I111" s="317">
        <f>+IF(H111=0,0,+IF(ROUNDUP(SUM($D111:H111),0)&lt;$D$17,$D$17*$B$109,0))</f>
        <v>0</v>
      </c>
      <c r="J111" s="317">
        <f>+IF(I111=0,0,+IF(ROUNDUP(SUM($D111:I111),0)&lt;$D$17,$D$17*$B$109,0))</f>
        <v>0</v>
      </c>
      <c r="K111" s="317">
        <f>+IF(J111=0,0,+IF(ROUNDUP(SUM($D111:J111),0)&lt;$D$17,$D$17*$B$109,0))</f>
        <v>0</v>
      </c>
      <c r="L111" s="317">
        <f>+IF(K111=0,0,+IF(ROUNDUP(SUM($D111:K111),0)&lt;$D$17,$D$17*$B$109,0))</f>
        <v>0</v>
      </c>
      <c r="M111" s="317">
        <f>+IF(L111=0,0,+IF(ROUNDUP(SUM($D111:L111),0)&lt;$D$17,$D$17*$B$109,0))</f>
        <v>0</v>
      </c>
    </row>
    <row r="112" spans="1:13" ht="11.25" hidden="1">
      <c r="A112" s="318">
        <f t="shared" si="41"/>
        <v>2022</v>
      </c>
      <c r="B112" s="316"/>
      <c r="C112" s="317"/>
      <c r="D112" s="317"/>
      <c r="E112" s="317">
        <f>+IF(E$17&lt;0,0,E$17*$B$109)</f>
        <v>0</v>
      </c>
      <c r="F112" s="317">
        <f t="shared" ref="F112:M112" si="44">+IF(F$17&lt;0,0,F$17*$B$109)</f>
        <v>0</v>
      </c>
      <c r="G112" s="317">
        <f t="shared" si="44"/>
        <v>0</v>
      </c>
      <c r="H112" s="317">
        <f t="shared" si="44"/>
        <v>0</v>
      </c>
      <c r="I112" s="317">
        <f t="shared" si="44"/>
        <v>0</v>
      </c>
      <c r="J112" s="317">
        <f t="shared" si="44"/>
        <v>0</v>
      </c>
      <c r="K112" s="317">
        <f>+IF(K$17&lt;0,0,K$17*$B$109)</f>
        <v>0</v>
      </c>
      <c r="L112" s="317">
        <f t="shared" si="44"/>
        <v>0</v>
      </c>
      <c r="M112" s="317">
        <f t="shared" si="44"/>
        <v>0</v>
      </c>
    </row>
    <row r="113" spans="1:13" ht="11.25" hidden="1">
      <c r="A113" s="318">
        <f t="shared" si="41"/>
        <v>2023</v>
      </c>
      <c r="B113" s="316"/>
      <c r="C113" s="317"/>
      <c r="D113" s="317"/>
      <c r="E113" s="317"/>
      <c r="F113" s="317"/>
      <c r="G113" s="317"/>
      <c r="H113" s="317"/>
      <c r="I113" s="317"/>
      <c r="J113" s="317"/>
      <c r="K113" s="317"/>
      <c r="L113" s="317"/>
      <c r="M113" s="317"/>
    </row>
    <row r="114" spans="1:13" ht="11.25" hidden="1">
      <c r="A114" s="318">
        <f t="shared" si="41"/>
        <v>2024</v>
      </c>
      <c r="B114" s="316"/>
      <c r="C114" s="317"/>
      <c r="D114" s="317"/>
      <c r="E114" s="317"/>
      <c r="F114" s="317"/>
      <c r="G114" s="317"/>
      <c r="H114" s="317"/>
      <c r="I114" s="317"/>
      <c r="J114" s="317"/>
      <c r="K114" s="317"/>
      <c r="L114" s="317"/>
      <c r="M114" s="317"/>
    </row>
    <row r="115" spans="1:13" ht="11.25" hidden="1">
      <c r="A115" s="318">
        <f t="shared" si="41"/>
        <v>2025</v>
      </c>
      <c r="B115" s="320"/>
      <c r="C115" s="317"/>
      <c r="D115" s="317"/>
      <c r="E115" s="317"/>
      <c r="F115" s="317"/>
      <c r="G115" s="317"/>
      <c r="H115" s="317"/>
      <c r="I115" s="317"/>
      <c r="J115" s="317"/>
      <c r="K115" s="317"/>
      <c r="L115" s="317"/>
      <c r="M115" s="317"/>
    </row>
    <row r="116" spans="1:13" ht="11.25" hidden="1">
      <c r="A116" s="315" t="s">
        <v>264</v>
      </c>
      <c r="B116" s="316">
        <f>+C66</f>
        <v>0.25</v>
      </c>
      <c r="C116" s="319">
        <f>SUM(C117:C122)</f>
        <v>222.22500000000002</v>
      </c>
      <c r="D116" s="317">
        <f>SUM(D117:D122)</f>
        <v>222.22499999999999</v>
      </c>
      <c r="E116" s="317">
        <f>SUM(E117:E122)</f>
        <v>222.22499999999999</v>
      </c>
      <c r="F116" s="317">
        <f t="shared" ref="F116:K116" si="45">SUM(F117:F122)</f>
        <v>222.22499999999991</v>
      </c>
      <c r="G116" s="317">
        <f t="shared" si="45"/>
        <v>0</v>
      </c>
      <c r="H116" s="317">
        <f t="shared" si="45"/>
        <v>0</v>
      </c>
      <c r="I116" s="317">
        <f t="shared" si="45"/>
        <v>0</v>
      </c>
      <c r="J116" s="317">
        <f t="shared" si="45"/>
        <v>0</v>
      </c>
      <c r="K116" s="317">
        <f t="shared" si="45"/>
        <v>0</v>
      </c>
      <c r="L116" s="317">
        <f>SUM(L117:L122)</f>
        <v>0</v>
      </c>
      <c r="M116" s="317">
        <f>SUM(M117:M122)</f>
        <v>0</v>
      </c>
    </row>
    <row r="117" spans="1:13" ht="11.25" hidden="1">
      <c r="A117" s="318">
        <f t="shared" si="41"/>
        <v>2020</v>
      </c>
      <c r="B117" s="316"/>
      <c r="C117" s="317">
        <f>+IF(C$18&lt;0,0,C$18*$B$116)/12*C75</f>
        <v>222.22500000000002</v>
      </c>
      <c r="D117" s="317">
        <f>+IF(C18=0,0,+IF(ROUNDUP(SUM($C117:C117),0)&lt;$C$18,$C$18*$B$116,0))</f>
        <v>222.22499999999999</v>
      </c>
      <c r="E117" s="317">
        <f>+IF(D117=0,0,+IF(ROUNDUP(SUM($C117:D117),0)&lt;$C$18,$C$18*$B$116,0))</f>
        <v>222.22499999999999</v>
      </c>
      <c r="F117" s="451">
        <f>+IF(E117=0,0,+IF(ROUNDUP(SUM($C117:E117),0)&lt;$C18,MIN(($C18-SUM($C117:E117)),+$C18*$B$116),0))</f>
        <v>222.22499999999991</v>
      </c>
      <c r="G117" s="451">
        <f>+IF(F117=0,0,+IF(ROUNDUP(SUM($C117:F117),0)&lt;$C18,MIN(($C18-SUM($C117:F117)),+$C18*$B$116),0))</f>
        <v>0</v>
      </c>
      <c r="H117" s="451">
        <f>+IF(G117=0,0,+IF(ROUNDUP(SUM($C117:G117),0)&lt;$C18,MIN(($C18-SUM($C117:G117)),+$C18*$B$116),0))</f>
        <v>0</v>
      </c>
      <c r="I117" s="451">
        <f>+IF(H117=0,0,+IF(ROUNDUP(SUM($C117:H117),0)&lt;$C18,MIN(($C18-SUM($C117:H117)),+$C18*$B$116),0))</f>
        <v>0</v>
      </c>
      <c r="J117" s="451">
        <f>+IF(I117=0,0,+IF(ROUNDUP(SUM($C117:I117),0)&lt;$C18,MIN(($C18-SUM($C117:I117)),+$C18*$B$116),0))</f>
        <v>0</v>
      </c>
      <c r="K117" s="451">
        <f>+IF(J117=0,0,+IF(ROUNDUP(SUM($C117:J117),0)&lt;$C18,MIN(($C18-SUM($C117:J117)),+$C18*$B$116),0))</f>
        <v>0</v>
      </c>
      <c r="L117" s="451">
        <f>+IF(K117=0,0,+IF(ROUNDUP(SUM($C117:K117),0)&lt;$C18,MIN(($C18-SUM($C117:K117)),+$C18*$B$116),0))</f>
        <v>0</v>
      </c>
      <c r="M117" s="451">
        <f>+IF(L117=0,0,+IF(ROUNDUP(SUM($C117:L117),0)&lt;$C18,MIN(($C18-SUM($C117:L117)),+$C18*$B$116),0))</f>
        <v>0</v>
      </c>
    </row>
    <row r="118" spans="1:13" ht="11.25" hidden="1">
      <c r="A118" s="318">
        <f t="shared" si="41"/>
        <v>2021</v>
      </c>
      <c r="B118" s="316"/>
      <c r="C118" s="317"/>
      <c r="D118" s="317">
        <f>+IF(D$18&lt;0,0,D$18*$B$116)</f>
        <v>0</v>
      </c>
      <c r="E118" s="317">
        <f>+IF(D118=0,0,+IF(ROUNDUP(SUM($D118:D118),0)&lt;$D$18,$D$18*$B$116,0))</f>
        <v>0</v>
      </c>
      <c r="F118" s="317">
        <f>+IF(E118=0,0,+IF(ROUNDUP(SUM($D118:E118),0)&lt;$D$18,$D$18*$B$116,0))</f>
        <v>0</v>
      </c>
      <c r="G118" s="317">
        <f>+IF(F118=0,0,+IF(ROUNDUP(SUM($D118:F118),0)&lt;$D$18,$D$18*$B$116,0))</f>
        <v>0</v>
      </c>
      <c r="H118" s="317">
        <f>+IF(G118=0,0,+IF(ROUNDUP(SUM($D118:G118),0)&lt;$D$18,$D$18*$B$116,0))</f>
        <v>0</v>
      </c>
      <c r="I118" s="317">
        <f>+IF(H118=0,0,+IF(ROUNDUP(SUM($D118:H118),0)&lt;$D$18,$D$18*$B$116,0))</f>
        <v>0</v>
      </c>
      <c r="J118" s="317">
        <f>+IF(I118=0,0,+IF(ROUNDUP(SUM($D118:I118),0)&lt;$D$18,$D$18*$B$116,0))</f>
        <v>0</v>
      </c>
      <c r="K118" s="317">
        <f>+IF(J118=0,0,+IF(ROUNDUP(SUM($D118:J118),0)&lt;$D$18,$D$18*$B$116,0))</f>
        <v>0</v>
      </c>
      <c r="L118" s="317">
        <f>+IF(K118=0,0,+IF(ROUNDUP(SUM($D118:K118),0)&lt;$D$18,$D$18*$B$116,0))</f>
        <v>0</v>
      </c>
      <c r="M118" s="317">
        <f>+IF(L118=0,0,+IF(ROUNDUP(SUM($D118:L118),0)&lt;$D$18,$D$18*$B$116,0))</f>
        <v>0</v>
      </c>
    </row>
    <row r="119" spans="1:13" ht="11.25" hidden="1">
      <c r="A119" s="318">
        <f t="shared" si="41"/>
        <v>2022</v>
      </c>
      <c r="B119" s="316"/>
      <c r="C119" s="317"/>
      <c r="D119" s="317"/>
      <c r="E119" s="317">
        <f>+IF(E$18&lt;0,0,E$18*$B$116)</f>
        <v>0</v>
      </c>
      <c r="F119" s="317">
        <f t="shared" ref="F119:M119" si="46">+IF(F$18&lt;0,0,F$18*$B$116)</f>
        <v>0</v>
      </c>
      <c r="G119" s="317">
        <f t="shared" si="46"/>
        <v>0</v>
      </c>
      <c r="H119" s="317">
        <f t="shared" si="46"/>
        <v>0</v>
      </c>
      <c r="I119" s="317">
        <f t="shared" si="46"/>
        <v>0</v>
      </c>
      <c r="J119" s="317">
        <f t="shared" si="46"/>
        <v>0</v>
      </c>
      <c r="K119" s="317">
        <f>+IF(K$18&lt;0,0,K$18*$B$116)</f>
        <v>0</v>
      </c>
      <c r="L119" s="317">
        <f t="shared" si="46"/>
        <v>0</v>
      </c>
      <c r="M119" s="317">
        <f t="shared" si="46"/>
        <v>0</v>
      </c>
    </row>
    <row r="120" spans="1:13" ht="11.25" hidden="1">
      <c r="A120" s="318">
        <f t="shared" si="41"/>
        <v>2023</v>
      </c>
      <c r="B120" s="316"/>
      <c r="C120" s="317"/>
      <c r="D120" s="317"/>
      <c r="E120" s="317"/>
      <c r="F120" s="317"/>
      <c r="G120" s="317"/>
      <c r="H120" s="317"/>
      <c r="I120" s="317"/>
      <c r="J120" s="317"/>
      <c r="K120" s="317"/>
      <c r="L120" s="317"/>
      <c r="M120" s="317"/>
    </row>
    <row r="121" spans="1:13" ht="11.25" hidden="1">
      <c r="A121" s="318">
        <f t="shared" si="41"/>
        <v>2024</v>
      </c>
      <c r="B121" s="316"/>
      <c r="C121" s="317"/>
      <c r="D121" s="317"/>
      <c r="E121" s="317"/>
      <c r="F121" s="317"/>
      <c r="G121" s="317"/>
      <c r="H121" s="317"/>
      <c r="I121" s="317"/>
      <c r="J121" s="317"/>
      <c r="K121" s="317"/>
      <c r="L121" s="317"/>
      <c r="M121" s="317"/>
    </row>
    <row r="122" spans="1:13" ht="11.25" hidden="1">
      <c r="A122" s="318">
        <f t="shared" si="41"/>
        <v>2025</v>
      </c>
      <c r="B122" s="320"/>
      <c r="C122" s="317"/>
      <c r="D122" s="317"/>
      <c r="E122" s="317"/>
      <c r="F122" s="317"/>
      <c r="G122" s="317"/>
      <c r="H122" s="317"/>
      <c r="I122" s="317"/>
      <c r="J122" s="317"/>
      <c r="K122" s="317"/>
      <c r="L122" s="317"/>
      <c r="M122" s="317"/>
    </row>
    <row r="123" spans="1:13" ht="11.25" hidden="1">
      <c r="A123" s="315" t="s">
        <v>265</v>
      </c>
      <c r="B123" s="316">
        <f>+C67</f>
        <v>0.25</v>
      </c>
      <c r="C123" s="319">
        <f>SUM(C124:C129)</f>
        <v>0</v>
      </c>
      <c r="D123" s="317">
        <f>SUM(D124:D129)</f>
        <v>0</v>
      </c>
      <c r="E123" s="317">
        <f>SUM(E124:E129)</f>
        <v>0</v>
      </c>
      <c r="F123" s="317">
        <f t="shared" ref="F123:K123" si="47">SUM(F124:F129)</f>
        <v>0</v>
      </c>
      <c r="G123" s="317">
        <f t="shared" si="47"/>
        <v>0</v>
      </c>
      <c r="H123" s="317">
        <f t="shared" si="47"/>
        <v>0</v>
      </c>
      <c r="I123" s="317">
        <f t="shared" si="47"/>
        <v>0</v>
      </c>
      <c r="J123" s="317">
        <f t="shared" si="47"/>
        <v>0</v>
      </c>
      <c r="K123" s="317">
        <f t="shared" si="47"/>
        <v>0</v>
      </c>
      <c r="L123" s="317">
        <f>SUM(L124:L129)</f>
        <v>0</v>
      </c>
      <c r="M123" s="317">
        <f>SUM(M124:M129)</f>
        <v>0</v>
      </c>
    </row>
    <row r="124" spans="1:13" ht="11.25" hidden="1">
      <c r="A124" s="318">
        <f t="shared" si="41"/>
        <v>2020</v>
      </c>
      <c r="B124" s="316"/>
      <c r="C124" s="317">
        <f>+IF(C$19&lt;0,0,C$19*$B$123)/12*C75</f>
        <v>0</v>
      </c>
      <c r="D124" s="317">
        <f>+IF(C124=0,0,+IF(ROUNDUP(SUM($C124:C124),0)&lt;$C$19,$C$19*$B$123,0))</f>
        <v>0</v>
      </c>
      <c r="E124" s="317">
        <f>+IF(D124=0,0,+IF(ROUNDUP(SUM($C124:D124),0)&lt;$C$19,$C$19*$B$123,0))</f>
        <v>0</v>
      </c>
      <c r="F124" s="451">
        <f>+IF(E124=0,0,+IF(ROUNDUP(SUM($C124:E124),0)&lt;$C18,MIN(($C18-SUM($C124:E124)),+$C18*$B$123),0))</f>
        <v>0</v>
      </c>
      <c r="G124" s="451">
        <f>+IF(F124=0,0,+IF(ROUNDUP(SUM($C124:F124),0)&lt;$C18,MIN(($C18-SUM($C124:F124)),+$C18*$B$123),0))</f>
        <v>0</v>
      </c>
      <c r="H124" s="451">
        <f>+IF(G124=0,0,+IF(ROUNDUP(SUM($C124:G124),0)&lt;$C18,MIN(($C18-SUM($C124:G124)),+$C18*$B$123),0))</f>
        <v>0</v>
      </c>
      <c r="I124" s="451">
        <f>+IF(H124=0,0,+IF(ROUNDUP(SUM($C124:H124),0)&lt;$C18,MIN(($C18-SUM($C124:H124)),+$C18*$B$123),0))</f>
        <v>0</v>
      </c>
      <c r="J124" s="451">
        <f>+IF(I124=0,0,+IF(ROUNDUP(SUM($C124:I124),0)&lt;$C18,MIN(($C18-SUM($C124:I124)),+$C18*$B$123),0))</f>
        <v>0</v>
      </c>
      <c r="K124" s="451">
        <f>+IF(J124=0,0,+IF(ROUNDUP(SUM($C124:J124),0)&lt;$C18,MIN(($C18-SUM($C124:J124)),+$C18*$B$123),0))</f>
        <v>0</v>
      </c>
      <c r="L124" s="451">
        <f>+IF(K124=0,0,+IF(ROUNDUP(SUM($C124:K124),0)&lt;$C18,MIN(($C18-SUM($C124:K124)),+$C18*$B$123),0))</f>
        <v>0</v>
      </c>
      <c r="M124" s="451">
        <f>+IF(L124=0,0,+IF(ROUNDUP(SUM($C124:L124),0)&lt;$C18,MIN(($C18-SUM($C124:L124)),+$C18*$B$123),0))</f>
        <v>0</v>
      </c>
    </row>
    <row r="125" spans="1:13" ht="11.25" hidden="1">
      <c r="A125" s="318">
        <f t="shared" si="41"/>
        <v>2021</v>
      </c>
      <c r="B125" s="316"/>
      <c r="C125" s="317"/>
      <c r="D125" s="317">
        <f>+IF(D$19&lt;0,0,D$19*$B$123)</f>
        <v>0</v>
      </c>
      <c r="E125" s="317">
        <f>+IF(D125=0,0,+IF(ROUNDUP(SUM($D125:D125),0)&lt;$D$19,$D$19*$B$123,0))</f>
        <v>0</v>
      </c>
      <c r="F125" s="317">
        <f>+IF(E125=0,0,+IF(ROUNDUP(SUM($D125:E125),0)&lt;$D$19,$D$19*$B$123,0))</f>
        <v>0</v>
      </c>
      <c r="G125" s="317">
        <f>+IF(F125=0,0,+IF(ROUNDUP(SUM($D125:F125),0)&lt;$D$19,$D$19*$B$123,0))</f>
        <v>0</v>
      </c>
      <c r="H125" s="317">
        <f>+IF(G125=0,0,+IF(ROUNDUP(SUM($D125:G125),0)&lt;$D$19,$D$19*$B$123,0))</f>
        <v>0</v>
      </c>
      <c r="I125" s="317">
        <f>+IF(H125=0,0,+IF(ROUNDUP(SUM($D125:H125),0)&lt;$D$19,$D$19*$B$123,0))</f>
        <v>0</v>
      </c>
      <c r="J125" s="317">
        <f>+IF(I125=0,0,+IF(ROUNDUP(SUM($D125:I125),0)&lt;$D$19,$D$19*$B$123,0))</f>
        <v>0</v>
      </c>
      <c r="K125" s="317">
        <f>+IF(J125=0,0,+IF(ROUNDUP(SUM($D125:J125),0)&lt;$D$19,$D$19*$B$123,0))</f>
        <v>0</v>
      </c>
      <c r="L125" s="317">
        <f>+IF(K125=0,0,+IF(ROUNDUP(SUM($D125:K125),0)&lt;$D$19,$D$19*$B$123,0))</f>
        <v>0</v>
      </c>
      <c r="M125" s="317">
        <f>+IF(L125=0,0,+IF(ROUNDUP(SUM($D125:L125),0)&lt;$D$19,$D$19*$B$123,0))</f>
        <v>0</v>
      </c>
    </row>
    <row r="126" spans="1:13" ht="11.25" hidden="1">
      <c r="A126" s="318">
        <f t="shared" si="41"/>
        <v>2022</v>
      </c>
      <c r="B126" s="316"/>
      <c r="C126" s="317"/>
      <c r="D126" s="317"/>
      <c r="E126" s="317">
        <f>+IF(E$19&lt;0,0,E$19*$B$123)</f>
        <v>0</v>
      </c>
      <c r="F126" s="317">
        <f t="shared" ref="F126:M126" si="48">+IF(F$19&lt;0,0,F$19*$B$123)</f>
        <v>0</v>
      </c>
      <c r="G126" s="317">
        <f t="shared" si="48"/>
        <v>0</v>
      </c>
      <c r="H126" s="317">
        <f t="shared" si="48"/>
        <v>0</v>
      </c>
      <c r="I126" s="317">
        <f t="shared" si="48"/>
        <v>0</v>
      </c>
      <c r="J126" s="317">
        <f t="shared" si="48"/>
        <v>0</v>
      </c>
      <c r="K126" s="317">
        <f>+IF(K$19&lt;0,0,K$19*$B$123)</f>
        <v>0</v>
      </c>
      <c r="L126" s="317">
        <f t="shared" si="48"/>
        <v>0</v>
      </c>
      <c r="M126" s="317">
        <f t="shared" si="48"/>
        <v>0</v>
      </c>
    </row>
    <row r="127" spans="1:13" ht="11.25" hidden="1">
      <c r="A127" s="318">
        <f t="shared" si="41"/>
        <v>2023</v>
      </c>
      <c r="B127" s="316"/>
      <c r="C127" s="317"/>
      <c r="D127" s="317"/>
      <c r="E127" s="317"/>
      <c r="F127" s="317"/>
      <c r="G127" s="317"/>
      <c r="H127" s="317"/>
      <c r="I127" s="317"/>
      <c r="J127" s="317"/>
      <c r="K127" s="317"/>
      <c r="L127" s="317"/>
      <c r="M127" s="317"/>
    </row>
    <row r="128" spans="1:13" ht="11.25" hidden="1">
      <c r="A128" s="318">
        <f t="shared" si="41"/>
        <v>2024</v>
      </c>
      <c r="B128" s="316"/>
      <c r="C128" s="317"/>
      <c r="D128" s="317"/>
      <c r="E128" s="317"/>
      <c r="F128" s="317"/>
      <c r="G128" s="317"/>
      <c r="H128" s="317"/>
      <c r="I128" s="317"/>
      <c r="J128" s="317"/>
      <c r="K128" s="317"/>
      <c r="L128" s="317"/>
      <c r="M128" s="317"/>
    </row>
    <row r="129" spans="1:13" ht="11.25" hidden="1">
      <c r="A129" s="318">
        <f t="shared" si="41"/>
        <v>2025</v>
      </c>
      <c r="B129" s="320"/>
      <c r="C129" s="317"/>
      <c r="D129" s="317"/>
      <c r="E129" s="317"/>
      <c r="F129" s="317"/>
      <c r="G129" s="317"/>
      <c r="H129" s="317"/>
      <c r="I129" s="317"/>
      <c r="J129" s="317"/>
      <c r="K129" s="317"/>
      <c r="L129" s="317"/>
      <c r="M129" s="317"/>
    </row>
    <row r="130" spans="1:13" ht="11.25" hidden="1">
      <c r="A130" s="315" t="s">
        <v>239</v>
      </c>
      <c r="B130" s="316">
        <f>+C68</f>
        <v>0.25</v>
      </c>
      <c r="C130" s="319">
        <f>SUM(C131:C136)</f>
        <v>0</v>
      </c>
      <c r="D130" s="317">
        <f>SUM(D131:D136)</f>
        <v>0</v>
      </c>
      <c r="E130" s="317">
        <f>SUM(E131:E136)</f>
        <v>0</v>
      </c>
      <c r="F130" s="317">
        <f t="shared" ref="F130:K130" si="49">SUM(F131:F136)</f>
        <v>0</v>
      </c>
      <c r="G130" s="317">
        <f t="shared" si="49"/>
        <v>0</v>
      </c>
      <c r="H130" s="317">
        <f t="shared" si="49"/>
        <v>0</v>
      </c>
      <c r="I130" s="317">
        <f t="shared" si="49"/>
        <v>0</v>
      </c>
      <c r="J130" s="317">
        <f t="shared" si="49"/>
        <v>0</v>
      </c>
      <c r="K130" s="317">
        <f t="shared" si="49"/>
        <v>0</v>
      </c>
      <c r="L130" s="317">
        <f>SUM(L131:L136)</f>
        <v>0</v>
      </c>
      <c r="M130" s="317">
        <f>SUM(M131:M136)</f>
        <v>0</v>
      </c>
    </row>
    <row r="131" spans="1:13" ht="11.25" hidden="1">
      <c r="A131" s="318">
        <f t="shared" si="41"/>
        <v>2020</v>
      </c>
      <c r="B131" s="316"/>
      <c r="C131" s="317">
        <f>+IF(C$20&lt;0,0,C$20*$B$130)/12*C75</f>
        <v>0</v>
      </c>
      <c r="D131" s="317">
        <f>+IF(C20=0,0,+IF(ROUNDUP(SUM($C131:C131),0)&lt;$C$20,$C$20*$B$130,0))</f>
        <v>0</v>
      </c>
      <c r="E131" s="317">
        <f>+IF(D131=0,0,+IF(ROUNDUP(SUM($C131:D131),0)&lt;$C$20,$C$20*$B$130,0))</f>
        <v>0</v>
      </c>
      <c r="F131" s="451">
        <f>+IF(E131=0,0,+IF(ROUNDUP(SUM($C131:E131),0)&lt;$C20,MIN(($C20-SUM($C131:E131)),+$C20*$B$130),0))</f>
        <v>0</v>
      </c>
      <c r="G131" s="451">
        <f>+IF(F131=0,0,+IF(ROUNDUP(SUM($C131:F131),0)&lt;$C20,MIN(($C20-SUM($C131:F131)),+$C20*$B$130),0))</f>
        <v>0</v>
      </c>
      <c r="H131" s="451">
        <f>+IF(G131=0,0,+IF(ROUNDUP(SUM($C131:G131),0)&lt;$C20,MIN(($C20-SUM($C131:G131)),+$C20*$B$130),0))</f>
        <v>0</v>
      </c>
      <c r="I131" s="451">
        <f>+IF(H131=0,0,+IF(ROUNDUP(SUM($C131:H131),0)&lt;$C20,MIN(($C20-SUM($C131:H131)),+$C20*$B$130),0))</f>
        <v>0</v>
      </c>
      <c r="J131" s="451">
        <f>+IF(I131=0,0,+IF(ROUNDUP(SUM($C131:I131),0)&lt;$C20,MIN(($C20-SUM($C131:I131)),+$C20*$B$130),0))</f>
        <v>0</v>
      </c>
      <c r="K131" s="451">
        <f>+IF(J131=0,0,+IF(ROUNDUP(SUM($C131:J131),0)&lt;$C20,MIN(($C20-SUM($C131:J131)),+$C20*$B$130),0))</f>
        <v>0</v>
      </c>
      <c r="L131" s="451">
        <f>+IF(K131=0,0,+IF(ROUNDUP(SUM($C131:K131),0)&lt;$C20,MIN(($C20-SUM($C131:K131)),+$C20*$B$130),0))</f>
        <v>0</v>
      </c>
      <c r="M131" s="451">
        <f>+IF(L131=0,0,+IF(ROUNDUP(SUM($C131:L131),0)&lt;$C20,MIN(($C20-SUM($C131:L131)),+$C20*$B$130),0))</f>
        <v>0</v>
      </c>
    </row>
    <row r="132" spans="1:13" ht="11.25" hidden="1">
      <c r="A132" s="318">
        <f t="shared" si="41"/>
        <v>2021</v>
      </c>
      <c r="B132" s="316"/>
      <c r="C132" s="317"/>
      <c r="D132" s="317">
        <f>+IF(D$20&lt;0,0,D$20*$B$130)</f>
        <v>0</v>
      </c>
      <c r="E132" s="317">
        <f>+IF(D132=0,0,+IF(ROUNDUP(SUM($D132:D132),0)&lt;$D$20,$D$20*$B$130,0))</f>
        <v>0</v>
      </c>
      <c r="F132" s="317">
        <f>+IF(E132=0,0,+IF(ROUNDUP(SUM($D132:E132),0)&lt;$D$20,$D$20*$B$130,0))</f>
        <v>0</v>
      </c>
      <c r="G132" s="317">
        <f>+IF(F132=0,0,+IF(ROUNDUP(SUM($D132:F132),0)&lt;$D$20,$D$20*$B$130,0))</f>
        <v>0</v>
      </c>
      <c r="H132" s="317">
        <f>+IF(G132=0,0,+IF(ROUNDUP(SUM($D132:G132),0)&lt;$D$20,$D$20*$B$130,0))</f>
        <v>0</v>
      </c>
      <c r="I132" s="317">
        <f>+IF(H132=0,0,+IF(ROUNDUP(SUM($D132:H132),0)&lt;$D$20,$D$20*$B$130,0))</f>
        <v>0</v>
      </c>
      <c r="J132" s="317">
        <f>+IF(I132=0,0,+IF(ROUNDUP(SUM($D132:I132),0)&lt;$D$20,$D$20*$B$130,0))</f>
        <v>0</v>
      </c>
      <c r="K132" s="317">
        <f>+IF(J132=0,0,+IF(ROUNDUP(SUM($D132:J132),0)&lt;$D$20,$D$20*$B$130,0))</f>
        <v>0</v>
      </c>
      <c r="L132" s="317">
        <f>+IF(K132=0,0,+IF(ROUNDUP(SUM($D132:K132),0)&lt;$D$20,$D$20*$B$130,0))</f>
        <v>0</v>
      </c>
      <c r="M132" s="317">
        <f>+IF(L132=0,0,+IF(ROUNDUP(SUM($D132:L132),0)&lt;$D$20,$D$20*$B$130,0))</f>
        <v>0</v>
      </c>
    </row>
    <row r="133" spans="1:13" ht="11.25" hidden="1">
      <c r="A133" s="318">
        <f t="shared" si="41"/>
        <v>2022</v>
      </c>
      <c r="B133" s="316"/>
      <c r="C133" s="317"/>
      <c r="D133" s="317"/>
      <c r="E133" s="317">
        <f>+IF(E$20&lt;0,0,E$20*$B$130)</f>
        <v>0</v>
      </c>
      <c r="F133" s="317">
        <f t="shared" ref="F133:M133" si="50">+IF(F$20&lt;0,0,F$20*$B$130)</f>
        <v>0</v>
      </c>
      <c r="G133" s="317">
        <f t="shared" si="50"/>
        <v>0</v>
      </c>
      <c r="H133" s="317">
        <f t="shared" si="50"/>
        <v>0</v>
      </c>
      <c r="I133" s="317">
        <f t="shared" si="50"/>
        <v>0</v>
      </c>
      <c r="J133" s="317">
        <f t="shared" si="50"/>
        <v>0</v>
      </c>
      <c r="K133" s="317">
        <f>+IF(K$20&lt;0,0,K$20*$B$130)</f>
        <v>0</v>
      </c>
      <c r="L133" s="317">
        <f t="shared" si="50"/>
        <v>0</v>
      </c>
      <c r="M133" s="317">
        <f t="shared" si="50"/>
        <v>0</v>
      </c>
    </row>
    <row r="134" spans="1:13" ht="11.25" hidden="1">
      <c r="A134" s="318">
        <f t="shared" si="41"/>
        <v>2023</v>
      </c>
      <c r="B134" s="316"/>
      <c r="C134" s="317"/>
      <c r="D134" s="317"/>
      <c r="E134" s="317"/>
      <c r="F134" s="317"/>
      <c r="G134" s="317"/>
      <c r="H134" s="317"/>
      <c r="I134" s="317"/>
      <c r="J134" s="317"/>
      <c r="K134" s="317"/>
      <c r="L134" s="317"/>
      <c r="M134" s="317"/>
    </row>
    <row r="135" spans="1:13" ht="11.25" hidden="1">
      <c r="A135" s="318">
        <f t="shared" si="41"/>
        <v>2024</v>
      </c>
      <c r="B135" s="316"/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</row>
    <row r="136" spans="1:13" ht="11.25" hidden="1">
      <c r="A136" s="318">
        <f t="shared" si="41"/>
        <v>2025</v>
      </c>
      <c r="B136" s="320"/>
      <c r="C136" s="317"/>
      <c r="D136" s="317"/>
      <c r="E136" s="317"/>
      <c r="F136" s="317"/>
      <c r="G136" s="317"/>
      <c r="H136" s="317"/>
      <c r="I136" s="317"/>
      <c r="J136" s="317"/>
      <c r="K136" s="317"/>
      <c r="L136" s="317"/>
      <c r="M136" s="317"/>
    </row>
    <row r="137" spans="1:13" ht="11.25" hidden="1">
      <c r="A137" s="559" t="s">
        <v>141</v>
      </c>
      <c r="B137" s="560"/>
      <c r="C137" s="326">
        <f>+C95+C102+C109+C116+C123+C130</f>
        <v>6158.2390000000005</v>
      </c>
      <c r="D137" s="326">
        <f>+D95+D102+D109+D116+D123+D130</f>
        <v>6158.2390000000005</v>
      </c>
      <c r="E137" s="326">
        <f>+E95+E102+E109+E116+E123+E130</f>
        <v>6158.2390000000005</v>
      </c>
      <c r="F137" s="326">
        <f t="shared" ref="F137:K137" si="51">+F95+F102+F109+F116+F123+F130</f>
        <v>8425.241</v>
      </c>
      <c r="G137" s="326">
        <f t="shared" si="51"/>
        <v>8203.0159999999996</v>
      </c>
      <c r="H137" s="326">
        <f t="shared" si="51"/>
        <v>0</v>
      </c>
      <c r="I137" s="326">
        <f t="shared" si="51"/>
        <v>0</v>
      </c>
      <c r="J137" s="326">
        <f t="shared" si="51"/>
        <v>0</v>
      </c>
      <c r="K137" s="326">
        <f t="shared" si="51"/>
        <v>0</v>
      </c>
      <c r="L137" s="326">
        <f>+L95+L102+L109+L116+L123+L130</f>
        <v>0</v>
      </c>
      <c r="M137" s="326">
        <f>+M95+M102+M109+M116+M123+M130</f>
        <v>0</v>
      </c>
    </row>
    <row r="138" spans="1:13" ht="11.25" hidden="1">
      <c r="A138" s="322" t="s">
        <v>241</v>
      </c>
      <c r="B138" s="165"/>
      <c r="C138" s="462"/>
      <c r="D138" s="462"/>
      <c r="E138" s="462"/>
      <c r="F138" s="462"/>
      <c r="G138" s="462"/>
      <c r="H138" s="462"/>
      <c r="I138" s="462"/>
      <c r="J138" s="462"/>
      <c r="K138" s="462"/>
      <c r="L138" s="462"/>
      <c r="M138" s="462"/>
    </row>
    <row r="139" spans="1:13" ht="11.25" hidden="1">
      <c r="A139" s="315" t="s">
        <v>243</v>
      </c>
      <c r="B139" s="316">
        <f>+C70</f>
        <v>0.33333000000000002</v>
      </c>
      <c r="C139" s="317">
        <f>SUM(C140:C145)</f>
        <v>0</v>
      </c>
      <c r="D139" s="317">
        <f>SUM(D140:D145)</f>
        <v>0</v>
      </c>
      <c r="E139" s="317">
        <f>SUM(E140:E145)</f>
        <v>0</v>
      </c>
      <c r="F139" s="317">
        <f t="shared" ref="F139:K139" si="52">SUM(F140:F145)</f>
        <v>0</v>
      </c>
      <c r="G139" s="317">
        <f t="shared" si="52"/>
        <v>0</v>
      </c>
      <c r="H139" s="317">
        <f t="shared" si="52"/>
        <v>0</v>
      </c>
      <c r="I139" s="317">
        <f t="shared" si="52"/>
        <v>0</v>
      </c>
      <c r="J139" s="317">
        <f t="shared" si="52"/>
        <v>0</v>
      </c>
      <c r="K139" s="317">
        <f t="shared" si="52"/>
        <v>0</v>
      </c>
      <c r="L139" s="317">
        <f>SUM(L140:L145)</f>
        <v>0</v>
      </c>
      <c r="M139" s="317">
        <f>SUM(M140:M145)</f>
        <v>0</v>
      </c>
    </row>
    <row r="140" spans="1:13" ht="11.25" hidden="1">
      <c r="A140" s="318">
        <f t="shared" ref="A140:A145" si="53">A103</f>
        <v>2020</v>
      </c>
      <c r="B140" s="316"/>
      <c r="C140" s="317">
        <f>+IF(C$24&lt;0,0,C$24*$B$139)/12*C75</f>
        <v>0</v>
      </c>
      <c r="D140" s="317">
        <f>+IF(C24=0,0,+IF(ROUNDUP(SUM($C140:C140),0)&lt;$C$24,$C$24*$B$139,0))</f>
        <v>0</v>
      </c>
      <c r="E140" s="317">
        <f>+IF(D140=0,0,+IF(ROUNDUP(SUM($C140:D140),0)&lt;$C$24,$C$24*$B$139,0))</f>
        <v>0</v>
      </c>
      <c r="F140" s="451">
        <f>+IF(E140=0,0,+IF(ROUNDUP(SUM($C140:E140),0)&lt;$C24,MIN(($C24-SUM($C140:E140)),+$C24*$B$139),0))</f>
        <v>0</v>
      </c>
      <c r="G140" s="451">
        <f>+IF(F140=0,0,+IF(ROUNDUP(SUM($C140:F140),0)&lt;$C24,MIN(($C24-SUM($C140:F140)),+$C24*$B$139),0))</f>
        <v>0</v>
      </c>
      <c r="H140" s="451">
        <f>+IF(G140=0,0,+IF(ROUNDUP(SUM($C140:G140),0)&lt;$C24,MIN(($C24-SUM($C140:G140)),+$C24*$B$139),0))</f>
        <v>0</v>
      </c>
      <c r="I140" s="451">
        <f>+IF(H140=0,0,+IF(ROUNDUP(SUM($C140:H140),0)&lt;$C24,MIN(($C24-SUM($C140:H140)),+$C24*$B$139),0))</f>
        <v>0</v>
      </c>
      <c r="J140" s="451">
        <f>+IF(I140=0,0,+IF(ROUNDUP(SUM($C140:I140),0)&lt;$C24,MIN(($C24-SUM($C140:I140)),+$C24*$B$139),0))</f>
        <v>0</v>
      </c>
      <c r="K140" s="451">
        <f>+IF(J140=0,0,+IF(ROUNDUP(SUM($C140:J140),0)&lt;$C24,MIN(($C24-SUM($C140:J140)),+$C24*$B$139),0))</f>
        <v>0</v>
      </c>
      <c r="L140" s="451">
        <f>+IF(K140=0,0,+IF(ROUNDUP(SUM($C140:K140),0)&lt;$C24,MIN(($C24-SUM($C140:K140)),+$C24*$B$139),0))</f>
        <v>0</v>
      </c>
      <c r="M140" s="451">
        <f>+IF(L140=0,0,+IF(ROUNDUP(SUM($C140:L140),0)&lt;$C24,MIN(($C24-SUM($C140:L140)),+$C24*$B$139),0))</f>
        <v>0</v>
      </c>
    </row>
    <row r="141" spans="1:13" ht="11.25" hidden="1">
      <c r="A141" s="318">
        <f t="shared" si="53"/>
        <v>2021</v>
      </c>
      <c r="B141" s="316"/>
      <c r="C141" s="317"/>
      <c r="D141" s="317">
        <f>+IF(D$24&lt;0,0,D$24*$B$139)</f>
        <v>0</v>
      </c>
      <c r="E141" s="317">
        <f>+IF(D141=0,0,+IF(ROUNDUP(SUM($D141:D141),0)&lt;$D$24,$D$24*$B$139,0))</f>
        <v>0</v>
      </c>
      <c r="F141" s="317">
        <f>+IF(E141=0,0,+IF(ROUNDUP(SUM($D141:E141),0)&lt;$D$24,$D$24*$B$139,0))</f>
        <v>0</v>
      </c>
      <c r="G141" s="317">
        <f>+IF(F141=0,0,+IF(ROUNDUP(SUM($D141:F141),0)&lt;$D$24,$D$24*$B$139,0))</f>
        <v>0</v>
      </c>
      <c r="H141" s="317">
        <f>+IF(G141=0,0,+IF(ROUNDUP(SUM($D141:G141),0)&lt;$D$24,$D$24*$B$139,0))</f>
        <v>0</v>
      </c>
      <c r="I141" s="317">
        <f>+IF(H141=0,0,+IF(ROUNDUP(SUM($D141:H141),0)&lt;$D$24,$D$24*$B$139,0))</f>
        <v>0</v>
      </c>
      <c r="J141" s="317">
        <f>+IF(I141=0,0,+IF(ROUNDUP(SUM($D141:I141),0)&lt;$D$24,$D$24*$B$139,0))</f>
        <v>0</v>
      </c>
      <c r="K141" s="317">
        <f>+IF(J141=0,0,+IF(ROUNDUP(SUM($D141:J141),0)&lt;$D$24,$D$24*$B$139,0))</f>
        <v>0</v>
      </c>
      <c r="L141" s="317">
        <f>+IF(K141=0,0,+IF(ROUNDUP(SUM($D141:K141),0)&lt;$D$24,$D$24*$B$139,0))</f>
        <v>0</v>
      </c>
      <c r="M141" s="317">
        <f>+IF(L141=0,0,+IF(ROUNDUP(SUM($D141:L141),0)&lt;$D$24,$D$24*$B$139,0))</f>
        <v>0</v>
      </c>
    </row>
    <row r="142" spans="1:13" ht="11.25" hidden="1">
      <c r="A142" s="318">
        <f t="shared" si="53"/>
        <v>2022</v>
      </c>
      <c r="B142" s="316"/>
      <c r="C142" s="317"/>
      <c r="D142" s="317"/>
      <c r="E142" s="317">
        <f>+IF(E$24&lt;0,0,E$24*$B$139)</f>
        <v>0</v>
      </c>
      <c r="F142" s="317">
        <f t="shared" ref="F142:M142" si="54">+IF(F$24&lt;0,0,F$24*$B$139)</f>
        <v>0</v>
      </c>
      <c r="G142" s="317">
        <f t="shared" si="54"/>
        <v>0</v>
      </c>
      <c r="H142" s="317">
        <f t="shared" si="54"/>
        <v>0</v>
      </c>
      <c r="I142" s="317">
        <f t="shared" si="54"/>
        <v>0</v>
      </c>
      <c r="J142" s="317">
        <f t="shared" si="54"/>
        <v>0</v>
      </c>
      <c r="K142" s="317">
        <f>+IF(K$24&lt;0,0,K$24*$B$139)</f>
        <v>0</v>
      </c>
      <c r="L142" s="317">
        <f t="shared" si="54"/>
        <v>0</v>
      </c>
      <c r="M142" s="317">
        <f t="shared" si="54"/>
        <v>0</v>
      </c>
    </row>
    <row r="143" spans="1:13" ht="11.25" hidden="1">
      <c r="A143" s="318">
        <f t="shared" si="53"/>
        <v>2023</v>
      </c>
      <c r="B143" s="316"/>
      <c r="C143" s="317"/>
      <c r="D143" s="317"/>
      <c r="E143" s="317"/>
      <c r="F143" s="317"/>
      <c r="G143" s="317"/>
      <c r="H143" s="317"/>
      <c r="I143" s="317"/>
      <c r="J143" s="317"/>
      <c r="K143" s="317"/>
      <c r="L143" s="317"/>
      <c r="M143" s="317"/>
    </row>
    <row r="144" spans="1:13" ht="11.25" hidden="1">
      <c r="A144" s="318">
        <f t="shared" si="53"/>
        <v>2024</v>
      </c>
      <c r="B144" s="316"/>
      <c r="C144" s="317"/>
      <c r="D144" s="317"/>
      <c r="E144" s="317"/>
      <c r="F144" s="317"/>
      <c r="G144" s="317"/>
      <c r="H144" s="317"/>
      <c r="I144" s="317"/>
      <c r="J144" s="317"/>
      <c r="K144" s="317"/>
      <c r="L144" s="317"/>
      <c r="M144" s="317"/>
    </row>
    <row r="145" spans="1:13" ht="11.25" hidden="1">
      <c r="A145" s="318">
        <f t="shared" si="53"/>
        <v>2025</v>
      </c>
      <c r="B145" s="316"/>
      <c r="C145" s="317"/>
      <c r="D145" s="317"/>
      <c r="E145" s="317"/>
      <c r="F145" s="317"/>
      <c r="G145" s="317"/>
      <c r="H145" s="317"/>
      <c r="I145" s="317"/>
      <c r="J145" s="317"/>
      <c r="K145" s="317"/>
      <c r="L145" s="317"/>
      <c r="M145" s="317"/>
    </row>
    <row r="146" spans="1:13" ht="11.25" hidden="1">
      <c r="A146" s="315" t="s">
        <v>244</v>
      </c>
      <c r="B146" s="316">
        <f>+C71</f>
        <v>0.33333333333333331</v>
      </c>
      <c r="C146" s="317">
        <f>SUM(C147:C152)</f>
        <v>276</v>
      </c>
      <c r="D146" s="317">
        <f>SUM(D147:D152)</f>
        <v>552</v>
      </c>
      <c r="E146" s="317">
        <f>SUM(E147:E152)</f>
        <v>828</v>
      </c>
      <c r="F146" s="317">
        <f t="shared" ref="F146:K146" si="55">SUM(F147:F152)</f>
        <v>552</v>
      </c>
      <c r="G146" s="317">
        <f t="shared" si="55"/>
        <v>276</v>
      </c>
      <c r="H146" s="317">
        <f t="shared" si="55"/>
        <v>276</v>
      </c>
      <c r="I146" s="317">
        <f t="shared" si="55"/>
        <v>276</v>
      </c>
      <c r="J146" s="317">
        <f t="shared" si="55"/>
        <v>276</v>
      </c>
      <c r="K146" s="317">
        <f t="shared" si="55"/>
        <v>276</v>
      </c>
      <c r="L146" s="317">
        <f>SUM(L147:L152)</f>
        <v>276</v>
      </c>
      <c r="M146" s="317">
        <f>SUM(M147:M152)</f>
        <v>276</v>
      </c>
    </row>
    <row r="147" spans="1:13" ht="11.25" hidden="1">
      <c r="A147" s="318">
        <f t="shared" ref="A147:A152" si="56">A140</f>
        <v>2020</v>
      </c>
      <c r="B147" s="316"/>
      <c r="C147" s="317">
        <f>+IF(C$25&lt;0,0,C$25*$B$146)/12*C75</f>
        <v>276</v>
      </c>
      <c r="D147" s="317">
        <f>+IF(C25=0,0,+IF(ROUNDUP(SUM($C147:C147),0)&lt;$C$25,$C$25*$B$146,0))</f>
        <v>276</v>
      </c>
      <c r="E147" s="317">
        <f>+IF(D147=0,0,+IF(ROUNDUP(SUM($C147:D147),0)&lt;$C$25,$C$25*$B$146,0))</f>
        <v>276</v>
      </c>
      <c r="F147" s="451">
        <f>+IF(E147=0,0,+IF(ROUNDUP(SUM($C147:E147),0)&lt;$C25,MIN(($C25-SUM($C147:E147)),+$C25*$B$146),0))</f>
        <v>0</v>
      </c>
      <c r="G147" s="451">
        <f>+IF(F147=0,0,+IF(ROUNDUP(SUM($C147:F147),0)&lt;$C25,MIN(($C25-SUM($C147:F147)),+$C25*$B$146),0))</f>
        <v>0</v>
      </c>
      <c r="H147" s="451">
        <f>+IF(G147=0,0,+IF(ROUNDUP(SUM($C147:G147),0)&lt;$C25,MIN(($C25-SUM($C147:G147)),+$C25*$B$146),0))</f>
        <v>0</v>
      </c>
      <c r="I147" s="451">
        <f>+IF(H147=0,0,+IF(ROUNDUP(SUM($C147:H147),0)&lt;$C25,MIN(($C25-SUM($C147:H147)),+$C25*$B$146),0))</f>
        <v>0</v>
      </c>
      <c r="J147" s="451">
        <f>+IF(I147=0,0,+IF(ROUNDUP(SUM($C147:I147),0)&lt;$C25,MIN(($C25-SUM($C147:I147)),+$C25*$B$146),0))</f>
        <v>0</v>
      </c>
      <c r="K147" s="451">
        <f>+IF(J147=0,0,+IF(ROUNDUP(SUM($C147:J147),0)&lt;$C25,MIN(($C25-SUM($C147:J147)),+$C25*$B$146),0))</f>
        <v>0</v>
      </c>
      <c r="L147" s="451">
        <f>+IF(K147=0,0,+IF(ROUNDUP(SUM($C147:K147),0)&lt;$C25,MIN(($C25-SUM($C147:K147)),+$C25*$B$146),0))</f>
        <v>0</v>
      </c>
      <c r="M147" s="451">
        <f>+IF(L147=0,0,+IF(ROUNDUP(SUM($C147:L147),0)&lt;$C25,MIN(($C25-SUM($C147:L147)),+$C25*$B$146),0))</f>
        <v>0</v>
      </c>
    </row>
    <row r="148" spans="1:13" ht="11.25" hidden="1">
      <c r="A148" s="318">
        <f t="shared" si="56"/>
        <v>2021</v>
      </c>
      <c r="B148" s="316"/>
      <c r="C148" s="317"/>
      <c r="D148" s="317">
        <f>+IF(D$25&lt;0,0,D$25*$B$146)</f>
        <v>276</v>
      </c>
      <c r="E148" s="317">
        <f>+IF(D148=0,0,+IF(ROUNDUP(SUM($D148:D148),0)&lt;$D$25,$D$25*$B$146,0))</f>
        <v>276</v>
      </c>
      <c r="F148" s="317">
        <f>+IF(E148=0,0,+IF(ROUNDUP(SUM($D148:E148),0)&lt;$D$25,$D$25*$B$146,0))</f>
        <v>276</v>
      </c>
      <c r="G148" s="317">
        <f>+IF(F148=0,0,+IF(ROUNDUP(SUM($D148:F148),0)&lt;$D$25,$D$25*$B$146,0))</f>
        <v>0</v>
      </c>
      <c r="H148" s="317">
        <f>+IF(G148=0,0,+IF(ROUNDUP(SUM($D148:G148),0)&lt;$D$25,$D$25*$B$146,0))</f>
        <v>0</v>
      </c>
      <c r="I148" s="317">
        <f>+IF(H148=0,0,+IF(ROUNDUP(SUM($D148:H148),0)&lt;$D$25,$D$25*$B$146,0))</f>
        <v>0</v>
      </c>
      <c r="J148" s="317">
        <f>+IF(I148=0,0,+IF(ROUNDUP(SUM($D148:I148),0)&lt;$D$25,$D$25*$B$146,0))</f>
        <v>0</v>
      </c>
      <c r="K148" s="317">
        <f>+IF(J148=0,0,+IF(ROUNDUP(SUM($D148:J148),0)&lt;$D$25,$D$25*$B$146,0))</f>
        <v>0</v>
      </c>
      <c r="L148" s="317">
        <f>+IF(K148=0,0,+IF(ROUNDUP(SUM($D148:K148),0)&lt;$D$25,$D$25*$B$146,0))</f>
        <v>0</v>
      </c>
      <c r="M148" s="317">
        <f>+IF(L148=0,0,+IF(ROUNDUP(SUM($D148:L148),0)&lt;$D$25,$D$25*$B$146,0))</f>
        <v>0</v>
      </c>
    </row>
    <row r="149" spans="1:13" ht="11.25" hidden="1">
      <c r="A149" s="318">
        <f t="shared" si="56"/>
        <v>2022</v>
      </c>
      <c r="B149" s="316"/>
      <c r="C149" s="317"/>
      <c r="D149" s="317"/>
      <c r="E149" s="317">
        <f>+IF(E$25&lt;0,0,E$25*$B$146)</f>
        <v>276</v>
      </c>
      <c r="F149" s="317">
        <f t="shared" ref="F149:M149" si="57">+IF(F$25&lt;0,0,F$25*$B$146)</f>
        <v>276</v>
      </c>
      <c r="G149" s="317">
        <f t="shared" si="57"/>
        <v>276</v>
      </c>
      <c r="H149" s="317">
        <f t="shared" si="57"/>
        <v>276</v>
      </c>
      <c r="I149" s="317">
        <f t="shared" si="57"/>
        <v>276</v>
      </c>
      <c r="J149" s="317">
        <f t="shared" si="57"/>
        <v>276</v>
      </c>
      <c r="K149" s="317">
        <f>+IF(K$25&lt;0,0,K$25*$B$146)</f>
        <v>276</v>
      </c>
      <c r="L149" s="317">
        <f t="shared" si="57"/>
        <v>276</v>
      </c>
      <c r="M149" s="317">
        <f t="shared" si="57"/>
        <v>276</v>
      </c>
    </row>
    <row r="150" spans="1:13" ht="11.25" hidden="1">
      <c r="A150" s="318">
        <f t="shared" si="56"/>
        <v>2023</v>
      </c>
      <c r="B150" s="316"/>
      <c r="C150" s="317"/>
      <c r="D150" s="317"/>
      <c r="E150" s="317"/>
      <c r="F150" s="317"/>
      <c r="G150" s="317"/>
      <c r="H150" s="317"/>
      <c r="I150" s="317"/>
      <c r="J150" s="317"/>
      <c r="K150" s="317"/>
      <c r="L150" s="317"/>
      <c r="M150" s="317"/>
    </row>
    <row r="151" spans="1:13" ht="11.25" hidden="1">
      <c r="A151" s="318">
        <f t="shared" si="56"/>
        <v>2024</v>
      </c>
      <c r="B151" s="316"/>
      <c r="C151" s="317"/>
      <c r="D151" s="317"/>
      <c r="E151" s="317"/>
      <c r="F151" s="317"/>
      <c r="G151" s="317"/>
      <c r="H151" s="317"/>
      <c r="I151" s="317"/>
      <c r="J151" s="317"/>
      <c r="K151" s="317"/>
      <c r="L151" s="317"/>
      <c r="M151" s="317"/>
    </row>
    <row r="152" spans="1:13" ht="11.25" hidden="1">
      <c r="A152" s="318">
        <f t="shared" si="56"/>
        <v>2025</v>
      </c>
      <c r="B152" s="316"/>
      <c r="C152" s="317"/>
      <c r="D152" s="317"/>
      <c r="E152" s="317"/>
      <c r="F152" s="317"/>
      <c r="G152" s="317"/>
      <c r="H152" s="317"/>
      <c r="I152" s="317"/>
      <c r="J152" s="317"/>
      <c r="K152" s="317"/>
      <c r="L152" s="317"/>
      <c r="M152" s="317"/>
    </row>
    <row r="153" spans="1:13" ht="11.25" hidden="1">
      <c r="A153" s="315" t="s">
        <v>245</v>
      </c>
      <c r="B153" s="316">
        <f>+C72</f>
        <v>0.33333333333333331</v>
      </c>
      <c r="C153" s="317">
        <f>SUM(C154:C159)</f>
        <v>35.666666666666664</v>
      </c>
      <c r="D153" s="317">
        <f>SUM(D154:D159)</f>
        <v>35.666666666666664</v>
      </c>
      <c r="E153" s="317">
        <f>SUM(E154:E159)</f>
        <v>35.666666666666664</v>
      </c>
      <c r="F153" s="317">
        <f t="shared" ref="F153:K153" si="58">SUM(F154:F159)</f>
        <v>0</v>
      </c>
      <c r="G153" s="317">
        <f t="shared" si="58"/>
        <v>17.689999999999998</v>
      </c>
      <c r="H153" s="317">
        <f t="shared" si="58"/>
        <v>26.53</v>
      </c>
      <c r="I153" s="317">
        <f t="shared" si="58"/>
        <v>35.379999999999995</v>
      </c>
      <c r="J153" s="317">
        <f t="shared" si="58"/>
        <v>53.07</v>
      </c>
      <c r="K153" s="317">
        <f t="shared" si="58"/>
        <v>106.13333333333333</v>
      </c>
      <c r="L153" s="317">
        <f>SUM(L154:L159)</f>
        <v>123.82666666666667</v>
      </c>
      <c r="M153" s="317">
        <f>SUM(M154:M159)</f>
        <v>123.82666666666667</v>
      </c>
    </row>
    <row r="154" spans="1:13" ht="11.25" hidden="1">
      <c r="A154" s="318">
        <f t="shared" ref="A154:A166" si="59">A147</f>
        <v>2020</v>
      </c>
      <c r="B154" s="316"/>
      <c r="C154" s="317">
        <f>+IF(C$26&lt;0,0,C$26*$B$153)/12*C75</f>
        <v>35.666666666666664</v>
      </c>
      <c r="D154" s="317">
        <f>+IF(C26=0,0,+IF(ROUNDUP(SUM($C154:C154),0)&lt;$C$26,$C$26*$B$153,0))</f>
        <v>35.666666666666664</v>
      </c>
      <c r="E154" s="317">
        <f>+IF(D154=0,0,+IF(ROUNDUP(SUM($C154:D154),0)&lt;$C$26,$C$26*$B$153,0))</f>
        <v>35.666666666666664</v>
      </c>
      <c r="F154" s="451">
        <f>+IF(E154=0,0,+IF(ROUNDUP(SUM($C154:E154),0)&lt;$C26,MIN(($C26-SUM($C154:E154)),+$C26*$B$153),0))</f>
        <v>0</v>
      </c>
      <c r="G154" s="451">
        <f>+IF(F154=0,0,+IF(ROUNDUP(SUM($C154:F154),0)&lt;$C26,MIN(($C26-SUM($C154:F154)),+$C26*$B$153),0))</f>
        <v>0</v>
      </c>
      <c r="H154" s="451">
        <f>+IF(G154=0,0,+IF(ROUNDUP(SUM($C154:G154),0)&lt;$C26,MIN(($C26-SUM($C154:G154)),+$C26*$B$153),0))</f>
        <v>0</v>
      </c>
      <c r="I154" s="451">
        <f>+IF(H154=0,0,+IF(ROUNDUP(SUM($C154:H154),0)&lt;$C26,MIN(($C26-SUM($C154:H154)),+$C26*$B$153),0))</f>
        <v>0</v>
      </c>
      <c r="J154" s="451">
        <f>+IF(I154=0,0,+IF(ROUNDUP(SUM($C154:I154),0)&lt;$C26,MIN(($C26-SUM($C154:I154)),+$C26*$B$153),0))</f>
        <v>0</v>
      </c>
      <c r="K154" s="451">
        <f>+IF(J154=0,0,+IF(ROUNDUP(SUM($C154:J154),0)&lt;$C26,MIN(($C26-SUM($C154:J154)),+$C26*$B$153),0))</f>
        <v>0</v>
      </c>
      <c r="L154" s="451">
        <f>+IF(K154=0,0,+IF(ROUNDUP(SUM($C154:K154),0)&lt;$C26,MIN(($C26-SUM($C154:K154)),+$C26*$B$153),0))</f>
        <v>0</v>
      </c>
      <c r="M154" s="451">
        <f>+IF(L154=0,0,+IF(ROUNDUP(SUM($C154:L154),0)&lt;$C26,MIN(($C26-SUM($C154:L154)),+$C26*$B$153),0))</f>
        <v>0</v>
      </c>
    </row>
    <row r="155" spans="1:13" ht="11.25" hidden="1">
      <c r="A155" s="318">
        <f t="shared" si="59"/>
        <v>2021</v>
      </c>
      <c r="B155" s="316"/>
      <c r="C155" s="317"/>
      <c r="D155" s="317">
        <f>+IF(D$26&lt;0,0,D$26*$B$153)</f>
        <v>0</v>
      </c>
      <c r="E155" s="317">
        <f>+IF(D155=0,0,+IF(ROUNDUP(SUM($D155:D155),0)&lt;$D$26,$D$26*$B$153,0))</f>
        <v>0</v>
      </c>
      <c r="F155" s="317">
        <f>+IF(E155=0,0,+IF(ROUNDUP(SUM($D155:E155),0)&lt;$D$26,$D$26*$B$153,0))</f>
        <v>0</v>
      </c>
      <c r="G155" s="317">
        <f>+IF(F155=0,0,+IF(ROUNDUP(SUM($D155:F155),0)&lt;$D$26,$D$26*$B$153,0))</f>
        <v>0</v>
      </c>
      <c r="H155" s="317">
        <f>+IF(G155=0,0,+IF(ROUNDUP(SUM($D155:G155),0)&lt;$D$26,$D$26*$B$153,0))</f>
        <v>0</v>
      </c>
      <c r="I155" s="317">
        <f>+IF(H155=0,0,+IF(ROUNDUP(SUM($D155:H155),0)&lt;$D$26,$D$26*$B$153,0))</f>
        <v>0</v>
      </c>
      <c r="J155" s="317">
        <f>+IF(I155=0,0,+IF(ROUNDUP(SUM($D155:I155),0)&lt;$D$26,$D$26*$B$153,0))</f>
        <v>0</v>
      </c>
      <c r="K155" s="317">
        <f>+IF(J155=0,0,+IF(ROUNDUP(SUM($D155:J155),0)&lt;$D$26,$D$26*$B$153,0))</f>
        <v>0</v>
      </c>
      <c r="L155" s="317">
        <f>+IF(K155=0,0,+IF(ROUNDUP(SUM($D155:K155),0)&lt;$D$26,$D$26*$B$153,0))</f>
        <v>0</v>
      </c>
      <c r="M155" s="317">
        <f>+IF(L155=0,0,+IF(ROUNDUP(SUM($D155:L155),0)&lt;$D$26,$D$26*$B$153,0))</f>
        <v>0</v>
      </c>
    </row>
    <row r="156" spans="1:13" ht="11.25" hidden="1">
      <c r="A156" s="318">
        <f t="shared" si="59"/>
        <v>2022</v>
      </c>
      <c r="B156" s="316"/>
      <c r="C156" s="317"/>
      <c r="D156" s="317"/>
      <c r="E156" s="317">
        <f>+IF(E$26&lt;0,0,E$26*$B$153)</f>
        <v>0</v>
      </c>
      <c r="F156" s="317">
        <f t="shared" ref="F156:M156" si="60">+IF(F$26&lt;0,0,F$26*$B$153)</f>
        <v>0</v>
      </c>
      <c r="G156" s="317">
        <f t="shared" si="60"/>
        <v>17.689999999999998</v>
      </c>
      <c r="H156" s="317">
        <f t="shared" si="60"/>
        <v>26.53</v>
      </c>
      <c r="I156" s="317">
        <f t="shared" si="60"/>
        <v>35.379999999999995</v>
      </c>
      <c r="J156" s="317">
        <f t="shared" si="60"/>
        <v>53.07</v>
      </c>
      <c r="K156" s="317">
        <f>+IF(K$26&lt;0,0,K$26*$B$153)</f>
        <v>106.13333333333333</v>
      </c>
      <c r="L156" s="317">
        <f t="shared" si="60"/>
        <v>123.82666666666667</v>
      </c>
      <c r="M156" s="317">
        <f t="shared" si="60"/>
        <v>123.82666666666667</v>
      </c>
    </row>
    <row r="157" spans="1:13" ht="11.25" hidden="1">
      <c r="A157" s="318">
        <f t="shared" si="59"/>
        <v>2023</v>
      </c>
      <c r="B157" s="316"/>
      <c r="C157" s="317"/>
      <c r="D157" s="317"/>
      <c r="E157" s="317"/>
      <c r="F157" s="317"/>
      <c r="G157" s="317"/>
      <c r="H157" s="317"/>
      <c r="I157" s="317"/>
      <c r="J157" s="317"/>
      <c r="K157" s="317"/>
      <c r="L157" s="317"/>
      <c r="M157" s="317"/>
    </row>
    <row r="158" spans="1:13" ht="11.25" hidden="1">
      <c r="A158" s="318">
        <f t="shared" si="59"/>
        <v>2024</v>
      </c>
      <c r="B158" s="316"/>
      <c r="C158" s="317"/>
      <c r="D158" s="317"/>
      <c r="E158" s="317"/>
      <c r="F158" s="317"/>
      <c r="G158" s="317"/>
      <c r="H158" s="317"/>
      <c r="I158" s="317"/>
      <c r="J158" s="317"/>
      <c r="K158" s="317"/>
      <c r="L158" s="317"/>
      <c r="M158" s="317"/>
    </row>
    <row r="159" spans="1:13" ht="11.25" hidden="1">
      <c r="A159" s="318">
        <f t="shared" si="59"/>
        <v>2025</v>
      </c>
      <c r="B159" s="316"/>
      <c r="C159" s="317"/>
      <c r="D159" s="317"/>
      <c r="E159" s="317"/>
      <c r="F159" s="317"/>
      <c r="G159" s="317"/>
      <c r="H159" s="317"/>
      <c r="I159" s="317"/>
      <c r="J159" s="317"/>
      <c r="K159" s="317"/>
      <c r="L159" s="317"/>
      <c r="M159" s="317"/>
    </row>
    <row r="160" spans="1:13" ht="11.25" hidden="1">
      <c r="A160" s="315" t="s">
        <v>246</v>
      </c>
      <c r="B160" s="316">
        <f>+C73</f>
        <v>0.33333333333333331</v>
      </c>
      <c r="C160" s="317">
        <f>SUM(C161:C166)</f>
        <v>0</v>
      </c>
      <c r="D160" s="317">
        <f>SUM(D161:D166)</f>
        <v>0</v>
      </c>
      <c r="E160" s="317">
        <f>SUM(E161:E166)</f>
        <v>0</v>
      </c>
      <c r="F160" s="317">
        <f t="shared" ref="F160:K160" si="61">SUM(F161:F166)</f>
        <v>0</v>
      </c>
      <c r="G160" s="317">
        <f t="shared" si="61"/>
        <v>0</v>
      </c>
      <c r="H160" s="317">
        <f t="shared" si="61"/>
        <v>0</v>
      </c>
      <c r="I160" s="317">
        <f t="shared" si="61"/>
        <v>0</v>
      </c>
      <c r="J160" s="317">
        <f t="shared" si="61"/>
        <v>0</v>
      </c>
      <c r="K160" s="317">
        <f t="shared" si="61"/>
        <v>0</v>
      </c>
      <c r="L160" s="317">
        <f>SUM(L161:L166)</f>
        <v>0</v>
      </c>
      <c r="M160" s="317">
        <f>SUM(M161:M166)</f>
        <v>0</v>
      </c>
    </row>
    <row r="161" spans="1:13" ht="11.25" hidden="1">
      <c r="A161" s="318">
        <f t="shared" si="59"/>
        <v>2020</v>
      </c>
      <c r="B161" s="316"/>
      <c r="C161" s="317">
        <f>+IF(C$27&lt;0,0,C$27*$B$160)/12*C75</f>
        <v>0</v>
      </c>
      <c r="D161" s="317">
        <f>+IF(C27=0,0,+IF(ROUNDUP(SUM($C161:C161),0)&lt;$C$27,$C$27*$B$160,0))</f>
        <v>0</v>
      </c>
      <c r="E161" s="317">
        <f>+IF(D161=0,0,+IF(ROUNDUP(SUM($C161:D161),0)&lt;$C$27,$C$27*$B$160,0))</f>
        <v>0</v>
      </c>
      <c r="F161" s="451">
        <f>+IF(E161=0,0,+IF(ROUNDUP(SUM($C161:E161),0)&lt;$C27,MIN(($C27-SUM($C161:E161)),+$C27*$B$160),0))</f>
        <v>0</v>
      </c>
      <c r="G161" s="451">
        <f>+IF(F161=0,0,+IF(ROUNDUP(SUM($C161:F161),0)&lt;$C27,MIN(($C27-SUM($C161:F161)),+$C27*$B$160),0))</f>
        <v>0</v>
      </c>
      <c r="H161" s="451">
        <f>+IF(G161=0,0,+IF(ROUNDUP(SUM($C161:G161),0)&lt;$C27,MIN(($C27-SUM($C161:G161)),+$C27*$B$160),0))</f>
        <v>0</v>
      </c>
      <c r="I161" s="451">
        <f>+IF(H161=0,0,+IF(ROUNDUP(SUM($C161:H161),0)&lt;$C27,MIN(($C27-SUM($C161:H161)),+$C27*$B$160),0))</f>
        <v>0</v>
      </c>
      <c r="J161" s="451">
        <f>+IF(I161=0,0,+IF(ROUNDUP(SUM($C161:I161),0)&lt;$C27,MIN(($C27-SUM($C161:I161)),+$C27*$B$160),0))</f>
        <v>0</v>
      </c>
      <c r="K161" s="451">
        <f>+IF(J161=0,0,+IF(ROUNDUP(SUM($C161:J161),0)&lt;$C27,MIN(($C27-SUM($C161:J161)),+$C27*$B$160),0))</f>
        <v>0</v>
      </c>
      <c r="L161" s="451">
        <f>+IF(K161=0,0,+IF(ROUNDUP(SUM($C161:K161),0)&lt;$C27,MIN(($C27-SUM($C161:K161)),+$C27*$B$160),0))</f>
        <v>0</v>
      </c>
      <c r="M161" s="451">
        <f>+IF(L161=0,0,+IF(ROUNDUP(SUM($C161:L161),0)&lt;$C27,MIN(($C27-SUM($C161:L161)),+$C27*$B$160),0))</f>
        <v>0</v>
      </c>
    </row>
    <row r="162" spans="1:13" ht="11.25" hidden="1">
      <c r="A162" s="318">
        <f t="shared" si="59"/>
        <v>2021</v>
      </c>
      <c r="B162" s="316"/>
      <c r="C162" s="317"/>
      <c r="D162" s="317">
        <f>+IF(D$27&lt;0,0,D$27*$B$160)</f>
        <v>0</v>
      </c>
      <c r="E162" s="317">
        <f>+IF(D162=0,0,+IF(ROUNDUP(SUM($D162:D162),0)&lt;$D$27,$D$27*$B$160,0))</f>
        <v>0</v>
      </c>
      <c r="F162" s="317">
        <f>+IF(E162=0,0,+IF(ROUNDUP(SUM($D162:E162),0)&lt;$D$27,$D$27*$B$160,0))</f>
        <v>0</v>
      </c>
      <c r="G162" s="317">
        <f>+IF(F162=0,0,+IF(ROUNDUP(SUM($D162:F162),0)&lt;$D$27,$D$27*$B$160,0))</f>
        <v>0</v>
      </c>
      <c r="H162" s="317">
        <f>+IF(G162=0,0,+IF(ROUNDUP(SUM($D162:G162),0)&lt;$D$27,$D$27*$B$160,0))</f>
        <v>0</v>
      </c>
      <c r="I162" s="317">
        <f>+IF(H162=0,0,+IF(ROUNDUP(SUM($D162:H162),0)&lt;$D$27,$D$27*$B$160,0))</f>
        <v>0</v>
      </c>
      <c r="J162" s="317">
        <f>+IF(I162=0,0,+IF(ROUNDUP(SUM($D162:I162),0)&lt;$D$27,$D$27*$B$160,0))</f>
        <v>0</v>
      </c>
      <c r="K162" s="317">
        <f>+IF(J162=0,0,+IF(ROUNDUP(SUM($D162:J162),0)&lt;$D$27,$D$27*$B$160,0))</f>
        <v>0</v>
      </c>
      <c r="L162" s="317">
        <f>+IF(K162=0,0,+IF(ROUNDUP(SUM($D162:K162),0)&lt;$D$27,$D$27*$B$160,0))</f>
        <v>0</v>
      </c>
      <c r="M162" s="317">
        <f>+IF(L162=0,0,+IF(ROUNDUP(SUM($D162:L162),0)&lt;$D$27,$D$27*$B$160,0))</f>
        <v>0</v>
      </c>
    </row>
    <row r="163" spans="1:13" ht="11.25" hidden="1">
      <c r="A163" s="318">
        <f t="shared" si="59"/>
        <v>2022</v>
      </c>
      <c r="B163" s="316"/>
      <c r="C163" s="317"/>
      <c r="D163" s="317"/>
      <c r="E163" s="317">
        <f>+IF(E$27&lt;0,0,E$27*$B$160)</f>
        <v>0</v>
      </c>
      <c r="F163" s="317">
        <f t="shared" ref="F163:M163" si="62">+IF(F$27&lt;0,0,F$27*$B$160)</f>
        <v>0</v>
      </c>
      <c r="G163" s="317">
        <f t="shared" si="62"/>
        <v>0</v>
      </c>
      <c r="H163" s="317">
        <f t="shared" si="62"/>
        <v>0</v>
      </c>
      <c r="I163" s="317">
        <f t="shared" si="62"/>
        <v>0</v>
      </c>
      <c r="J163" s="317">
        <f t="shared" si="62"/>
        <v>0</v>
      </c>
      <c r="K163" s="317">
        <f>+IF(K$27&lt;0,0,K$27*$B$160)</f>
        <v>0</v>
      </c>
      <c r="L163" s="317">
        <f t="shared" si="62"/>
        <v>0</v>
      </c>
      <c r="M163" s="317">
        <f t="shared" si="62"/>
        <v>0</v>
      </c>
    </row>
    <row r="164" spans="1:13" ht="11.25" hidden="1">
      <c r="A164" s="318">
        <f t="shared" si="59"/>
        <v>2023</v>
      </c>
      <c r="B164" s="316"/>
      <c r="C164" s="317"/>
      <c r="D164" s="317"/>
      <c r="E164" s="317"/>
      <c r="F164" s="317"/>
      <c r="G164" s="317"/>
      <c r="H164" s="317"/>
      <c r="I164" s="317"/>
      <c r="J164" s="317"/>
      <c r="K164" s="317"/>
      <c r="L164" s="317"/>
      <c r="M164" s="317"/>
    </row>
    <row r="165" spans="1:13" ht="11.25" hidden="1">
      <c r="A165" s="318">
        <f t="shared" si="59"/>
        <v>2024</v>
      </c>
      <c r="B165" s="316"/>
      <c r="C165" s="317"/>
      <c r="D165" s="317"/>
      <c r="E165" s="317"/>
      <c r="F165" s="317"/>
      <c r="G165" s="317"/>
      <c r="H165" s="317"/>
      <c r="I165" s="317"/>
      <c r="J165" s="317"/>
      <c r="K165" s="317"/>
      <c r="L165" s="317"/>
      <c r="M165" s="317"/>
    </row>
    <row r="166" spans="1:13" ht="11.25" hidden="1">
      <c r="A166" s="318">
        <f t="shared" si="59"/>
        <v>2025</v>
      </c>
      <c r="B166" s="316"/>
      <c r="C166" s="317"/>
      <c r="D166" s="317"/>
      <c r="E166" s="317"/>
      <c r="F166" s="317"/>
      <c r="G166" s="317"/>
      <c r="H166" s="317"/>
      <c r="I166" s="317"/>
      <c r="J166" s="317"/>
      <c r="K166" s="317"/>
      <c r="L166" s="317"/>
      <c r="M166" s="317"/>
    </row>
    <row r="167" spans="1:13" ht="11.25" hidden="1">
      <c r="A167" s="559" t="s">
        <v>141</v>
      </c>
      <c r="B167" s="560"/>
      <c r="C167" s="326">
        <f>+C139+C146+C153+C160</f>
        <v>311.66666666666669</v>
      </c>
      <c r="D167" s="326">
        <f>+D139+D146+D153+D160</f>
        <v>587.66666666666663</v>
      </c>
      <c r="E167" s="326">
        <f>+E139+E146+E153+E160</f>
        <v>863.66666666666663</v>
      </c>
      <c r="F167" s="326">
        <f t="shared" ref="F167:K167" si="63">+F139+F146+F153+F160</f>
        <v>552</v>
      </c>
      <c r="G167" s="326">
        <f t="shared" si="63"/>
        <v>293.69</v>
      </c>
      <c r="H167" s="326">
        <f t="shared" si="63"/>
        <v>302.52999999999997</v>
      </c>
      <c r="I167" s="326">
        <f t="shared" si="63"/>
        <v>311.38</v>
      </c>
      <c r="J167" s="326">
        <f t="shared" si="63"/>
        <v>329.07</v>
      </c>
      <c r="K167" s="326">
        <f t="shared" si="63"/>
        <v>382.13333333333333</v>
      </c>
      <c r="L167" s="326">
        <f>+L139+L146+L153+L160</f>
        <v>399.82666666666665</v>
      </c>
      <c r="M167" s="326">
        <f>+M139+M146+M153+M160</f>
        <v>399.82666666666665</v>
      </c>
    </row>
    <row r="168" spans="1:13" ht="11.25">
      <c r="A168" s="559" t="s">
        <v>266</v>
      </c>
      <c r="B168" s="560"/>
      <c r="C168" s="321">
        <f>+C93+C137+C167</f>
        <v>6469.9056666666675</v>
      </c>
      <c r="D168" s="321">
        <f>+D93+D137+D167</f>
        <v>6745.9056666666675</v>
      </c>
      <c r="E168" s="321">
        <f>+E93+E137+E167</f>
        <v>7021.9056666666675</v>
      </c>
      <c r="F168" s="321">
        <f t="shared" ref="F168:K168" si="64">+F93+F137+F167</f>
        <v>8977.241</v>
      </c>
      <c r="G168" s="321">
        <f t="shared" si="64"/>
        <v>8496.7060000000001</v>
      </c>
      <c r="H168" s="321">
        <f t="shared" si="64"/>
        <v>302.52999999999997</v>
      </c>
      <c r="I168" s="321">
        <f t="shared" si="64"/>
        <v>311.38</v>
      </c>
      <c r="J168" s="321">
        <f t="shared" si="64"/>
        <v>329.07</v>
      </c>
      <c r="K168" s="321">
        <f t="shared" si="64"/>
        <v>382.13333333333333</v>
      </c>
      <c r="L168" s="321">
        <f>+L93+L137+L167</f>
        <v>399.82666666666665</v>
      </c>
      <c r="M168" s="321">
        <f>+M93+M137+M167</f>
        <v>399.82666666666665</v>
      </c>
    </row>
    <row r="169" spans="1:13" ht="11.25">
      <c r="A169" s="170"/>
      <c r="B169" s="170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</row>
    <row r="170" spans="1:13" ht="11.25">
      <c r="A170" s="170"/>
      <c r="B170" s="170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</row>
    <row r="171" spans="1:13" ht="11.25">
      <c r="A171" s="177" t="s">
        <v>267</v>
      </c>
      <c r="B171" s="178"/>
      <c r="C171" s="163">
        <f>+C7</f>
        <v>2020</v>
      </c>
      <c r="D171" s="163">
        <f t="shared" ref="D171:M171" si="65">+C171+1</f>
        <v>2021</v>
      </c>
      <c r="E171" s="163">
        <f t="shared" si="65"/>
        <v>2022</v>
      </c>
      <c r="F171" s="163">
        <f t="shared" si="65"/>
        <v>2023</v>
      </c>
      <c r="G171" s="163">
        <f t="shared" si="65"/>
        <v>2024</v>
      </c>
      <c r="H171" s="163">
        <f t="shared" si="65"/>
        <v>2025</v>
      </c>
      <c r="I171" s="163">
        <f t="shared" si="65"/>
        <v>2026</v>
      </c>
      <c r="J171" s="163">
        <f t="shared" si="65"/>
        <v>2027</v>
      </c>
      <c r="K171" s="163">
        <f t="shared" si="65"/>
        <v>2028</v>
      </c>
      <c r="L171" s="163">
        <f t="shared" si="65"/>
        <v>2029</v>
      </c>
      <c r="M171" s="163">
        <f t="shared" si="65"/>
        <v>2030</v>
      </c>
    </row>
    <row r="172" spans="1:13" ht="11.25">
      <c r="A172" s="323" t="s">
        <v>227</v>
      </c>
      <c r="B172" s="165"/>
      <c r="C172" s="325">
        <f>+C93</f>
        <v>0</v>
      </c>
      <c r="D172" s="325">
        <f>+SUM($C93:D93)</f>
        <v>0</v>
      </c>
      <c r="E172" s="325">
        <f>+SUM($C93:E93)</f>
        <v>0</v>
      </c>
      <c r="F172" s="325">
        <f>+SUM($C93:F93)</f>
        <v>0</v>
      </c>
      <c r="G172" s="325">
        <f>+SUM($C93:G93)</f>
        <v>0</v>
      </c>
      <c r="H172" s="325">
        <f>+SUM($C93:H93)</f>
        <v>0</v>
      </c>
      <c r="I172" s="325">
        <f>+SUM($C93:I93)</f>
        <v>0</v>
      </c>
      <c r="J172" s="325">
        <f>+SUM($C93:J93)</f>
        <v>0</v>
      </c>
      <c r="K172" s="325">
        <f>+SUM($C93:K93)</f>
        <v>0</v>
      </c>
      <c r="L172" s="325">
        <f>+SUM($C93:L93)</f>
        <v>0</v>
      </c>
      <c r="M172" s="325">
        <f>+SUM($C93:M93)</f>
        <v>0</v>
      </c>
    </row>
    <row r="173" spans="1:13" ht="11.25">
      <c r="A173" s="323" t="s">
        <v>232</v>
      </c>
      <c r="B173" s="165"/>
      <c r="C173" s="325">
        <f>+C137</f>
        <v>6158.2390000000005</v>
      </c>
      <c r="D173" s="325">
        <f>+SUM(C137:D137)</f>
        <v>12316.478000000001</v>
      </c>
      <c r="E173" s="325">
        <f>+D173+E137</f>
        <v>18474.717000000001</v>
      </c>
      <c r="F173" s="325">
        <f t="shared" ref="F173:M173" si="66">+E173+F137</f>
        <v>26899.957999999999</v>
      </c>
      <c r="G173" s="325">
        <f t="shared" si="66"/>
        <v>35102.974000000002</v>
      </c>
      <c r="H173" s="325">
        <f t="shared" si="66"/>
        <v>35102.974000000002</v>
      </c>
      <c r="I173" s="325">
        <f t="shared" si="66"/>
        <v>35102.974000000002</v>
      </c>
      <c r="J173" s="325">
        <f t="shared" si="66"/>
        <v>35102.974000000002</v>
      </c>
      <c r="K173" s="325">
        <f t="shared" si="66"/>
        <v>35102.974000000002</v>
      </c>
      <c r="L173" s="325">
        <f t="shared" si="66"/>
        <v>35102.974000000002</v>
      </c>
      <c r="M173" s="325">
        <f t="shared" si="66"/>
        <v>35102.974000000002</v>
      </c>
    </row>
    <row r="174" spans="1:13" ht="11.25">
      <c r="A174" s="323" t="s">
        <v>241</v>
      </c>
      <c r="B174" s="165"/>
      <c r="C174" s="325">
        <f>+C167</f>
        <v>311.66666666666669</v>
      </c>
      <c r="D174" s="325">
        <f>+SUM(C167:D167)</f>
        <v>899.33333333333326</v>
      </c>
      <c r="E174" s="325">
        <f>+D174+E167</f>
        <v>1763</v>
      </c>
      <c r="F174" s="325">
        <f t="shared" ref="F174:M174" si="67">+E174+F167</f>
        <v>2315</v>
      </c>
      <c r="G174" s="325">
        <f t="shared" si="67"/>
        <v>2608.69</v>
      </c>
      <c r="H174" s="325">
        <f t="shared" si="67"/>
        <v>2911.2200000000003</v>
      </c>
      <c r="I174" s="325">
        <f t="shared" si="67"/>
        <v>3222.6000000000004</v>
      </c>
      <c r="J174" s="325">
        <f t="shared" si="67"/>
        <v>3551.6700000000005</v>
      </c>
      <c r="K174" s="325">
        <f t="shared" si="67"/>
        <v>3933.8033333333337</v>
      </c>
      <c r="L174" s="325">
        <f t="shared" si="67"/>
        <v>4333.63</v>
      </c>
      <c r="M174" s="325">
        <f t="shared" si="67"/>
        <v>4733.4566666666669</v>
      </c>
    </row>
    <row r="175" spans="1:13" ht="11.25">
      <c r="A175" s="559" t="s">
        <v>141</v>
      </c>
      <c r="B175" s="560"/>
      <c r="C175" s="168">
        <f>+C172+C173+C174</f>
        <v>6469.9056666666675</v>
      </c>
      <c r="D175" s="168">
        <f>+D172+D173+D174</f>
        <v>13215.811333333335</v>
      </c>
      <c r="E175" s="168">
        <f>+E172+E173+E174</f>
        <v>20237.717000000001</v>
      </c>
      <c r="F175" s="168">
        <f t="shared" ref="F175:K175" si="68">+F172+F173+F174</f>
        <v>29214.957999999999</v>
      </c>
      <c r="G175" s="168">
        <f t="shared" si="68"/>
        <v>37711.664000000004</v>
      </c>
      <c r="H175" s="168">
        <f t="shared" si="68"/>
        <v>38014.194000000003</v>
      </c>
      <c r="I175" s="168">
        <f t="shared" si="68"/>
        <v>38325.574000000001</v>
      </c>
      <c r="J175" s="168">
        <f t="shared" si="68"/>
        <v>38654.644</v>
      </c>
      <c r="K175" s="168">
        <f t="shared" si="68"/>
        <v>39036.777333333339</v>
      </c>
      <c r="L175" s="168">
        <f>+L172+L173+L174</f>
        <v>39436.603999999999</v>
      </c>
      <c r="M175" s="168">
        <f>+M172+M173+M174</f>
        <v>39836.430666666667</v>
      </c>
    </row>
    <row r="176" spans="1:13" ht="11.25">
      <c r="A176" s="170"/>
      <c r="B176" s="170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</row>
    <row r="177" spans="1:13" ht="11.25">
      <c r="A177" s="170"/>
      <c r="B177" s="170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</row>
    <row r="178" spans="1:13" ht="11.25">
      <c r="A178" s="177" t="s">
        <v>268</v>
      </c>
      <c r="B178" s="178"/>
      <c r="C178" s="163">
        <f>+C7</f>
        <v>2020</v>
      </c>
      <c r="D178" s="163">
        <f t="shared" ref="D178:M178" si="69">+C178+1</f>
        <v>2021</v>
      </c>
      <c r="E178" s="163">
        <f t="shared" si="69"/>
        <v>2022</v>
      </c>
      <c r="F178" s="163">
        <f t="shared" si="69"/>
        <v>2023</v>
      </c>
      <c r="G178" s="163">
        <f t="shared" si="69"/>
        <v>2024</v>
      </c>
      <c r="H178" s="163">
        <f t="shared" si="69"/>
        <v>2025</v>
      </c>
      <c r="I178" s="163">
        <f t="shared" si="69"/>
        <v>2026</v>
      </c>
      <c r="J178" s="163">
        <f t="shared" si="69"/>
        <v>2027</v>
      </c>
      <c r="K178" s="163">
        <f t="shared" si="69"/>
        <v>2028</v>
      </c>
      <c r="L178" s="163">
        <f t="shared" si="69"/>
        <v>2029</v>
      </c>
      <c r="M178" s="163">
        <f t="shared" si="69"/>
        <v>2030</v>
      </c>
    </row>
    <row r="179" spans="1:13" ht="11.25">
      <c r="A179" s="323" t="s">
        <v>227</v>
      </c>
      <c r="B179" s="165"/>
      <c r="C179" s="325">
        <f>+C38-C172</f>
        <v>0</v>
      </c>
      <c r="D179" s="325">
        <f>+D38-D172</f>
        <v>0</v>
      </c>
      <c r="E179" s="325">
        <f>+E38-E172</f>
        <v>0</v>
      </c>
      <c r="F179" s="325">
        <f t="shared" ref="F179:K179" si="70">+F38-F172</f>
        <v>0</v>
      </c>
      <c r="G179" s="325">
        <f t="shared" si="70"/>
        <v>0</v>
      </c>
      <c r="H179" s="325">
        <f t="shared" si="70"/>
        <v>0</v>
      </c>
      <c r="I179" s="325">
        <f t="shared" si="70"/>
        <v>0</v>
      </c>
      <c r="J179" s="325">
        <f t="shared" si="70"/>
        <v>0</v>
      </c>
      <c r="K179" s="325">
        <f t="shared" si="70"/>
        <v>0</v>
      </c>
      <c r="L179" s="325">
        <f>+L38-L172</f>
        <v>0</v>
      </c>
      <c r="M179" s="325">
        <f>+M38-M172</f>
        <v>0</v>
      </c>
    </row>
    <row r="180" spans="1:13" ht="11.25">
      <c r="A180" s="323" t="s">
        <v>232</v>
      </c>
      <c r="B180" s="165"/>
      <c r="C180" s="325">
        <f>+C47-C173</f>
        <v>24410.731</v>
      </c>
      <c r="D180" s="325">
        <f>+D47-D173</f>
        <v>18252.491999999998</v>
      </c>
      <c r="E180" s="325">
        <f>+E47-E173</f>
        <v>12094.253000000001</v>
      </c>
      <c r="F180" s="325">
        <f t="shared" ref="F180:K180" si="71">+F47-F173</f>
        <v>15004.022000000004</v>
      </c>
      <c r="G180" s="325">
        <f t="shared" si="71"/>
        <v>18136.016000000003</v>
      </c>
      <c r="H180" s="325">
        <f t="shared" si="71"/>
        <v>18136.016000000003</v>
      </c>
      <c r="I180" s="325">
        <f t="shared" si="71"/>
        <v>18136.016000000003</v>
      </c>
      <c r="J180" s="325">
        <f t="shared" si="71"/>
        <v>18136.016000000003</v>
      </c>
      <c r="K180" s="325">
        <f t="shared" si="71"/>
        <v>18136.016000000003</v>
      </c>
      <c r="L180" s="325">
        <f>+L47-L173</f>
        <v>18136.016000000003</v>
      </c>
      <c r="M180" s="325">
        <f>+M47-M173</f>
        <v>18136.016000000003</v>
      </c>
    </row>
    <row r="181" spans="1:13" ht="11.25">
      <c r="A181" s="323" t="s">
        <v>241</v>
      </c>
      <c r="B181" s="165"/>
      <c r="C181" s="325">
        <f>+C54-C174</f>
        <v>623.33333333333326</v>
      </c>
      <c r="D181" s="325">
        <f>+D54-D174</f>
        <v>863.66666666666674</v>
      </c>
      <c r="E181" s="325">
        <f>+E54-E174</f>
        <v>828</v>
      </c>
      <c r="F181" s="325">
        <f t="shared" ref="F181:K181" si="72">+F54-F174</f>
        <v>1104</v>
      </c>
      <c r="G181" s="325">
        <f t="shared" si="72"/>
        <v>1691.3799999999997</v>
      </c>
      <c r="H181" s="325">
        <f t="shared" si="72"/>
        <v>2296.4399999999996</v>
      </c>
      <c r="I181" s="325">
        <f t="shared" si="72"/>
        <v>2919.2</v>
      </c>
      <c r="J181" s="325">
        <f t="shared" si="72"/>
        <v>3577.3399999999997</v>
      </c>
      <c r="K181" s="325">
        <f t="shared" si="72"/>
        <v>4341.6066666666666</v>
      </c>
      <c r="L181" s="325">
        <f>+L54-L174</f>
        <v>5141.2599999999993</v>
      </c>
      <c r="M181" s="325">
        <f>+M54-M174</f>
        <v>5940.913333333332</v>
      </c>
    </row>
    <row r="182" spans="1:13" ht="11.25">
      <c r="A182" s="559" t="s">
        <v>141</v>
      </c>
      <c r="B182" s="560"/>
      <c r="C182" s="168">
        <f>+C179+C180+C181</f>
        <v>25034.064333333332</v>
      </c>
      <c r="D182" s="168">
        <f>+D179+D180+D181</f>
        <v>19116.158666666666</v>
      </c>
      <c r="E182" s="168">
        <f>+E179+E180+E181</f>
        <v>12922.253000000001</v>
      </c>
      <c r="F182" s="168">
        <f t="shared" ref="F182:K182" si="73">+F179+F180+F181</f>
        <v>16108.022000000004</v>
      </c>
      <c r="G182" s="168">
        <f t="shared" si="73"/>
        <v>19827.396000000004</v>
      </c>
      <c r="H182" s="168">
        <f t="shared" si="73"/>
        <v>20432.456000000002</v>
      </c>
      <c r="I182" s="168">
        <f t="shared" si="73"/>
        <v>21055.216000000004</v>
      </c>
      <c r="J182" s="168">
        <f t="shared" si="73"/>
        <v>21713.356000000003</v>
      </c>
      <c r="K182" s="168">
        <f t="shared" si="73"/>
        <v>22477.62266666667</v>
      </c>
      <c r="L182" s="168">
        <f>+L179+L180+L181</f>
        <v>23277.276000000002</v>
      </c>
      <c r="M182" s="168">
        <f>+M179+M180+M181</f>
        <v>24076.929333333333</v>
      </c>
    </row>
  </sheetData>
  <sheetProtection password="8318" sheet="1"/>
  <mergeCells count="18">
    <mergeCell ref="A4:M4"/>
    <mergeCell ref="A28:B28"/>
    <mergeCell ref="A21:B21"/>
    <mergeCell ref="A12:B12"/>
    <mergeCell ref="A93:B93"/>
    <mergeCell ref="A7:B7"/>
    <mergeCell ref="A33:B33"/>
    <mergeCell ref="A58:C58"/>
    <mergeCell ref="A167:B167"/>
    <mergeCell ref="A182:B182"/>
    <mergeCell ref="A175:B175"/>
    <mergeCell ref="A168:B168"/>
    <mergeCell ref="A29:B29"/>
    <mergeCell ref="A55:B55"/>
    <mergeCell ref="A137:B137"/>
    <mergeCell ref="A38:B38"/>
    <mergeCell ref="A47:B47"/>
    <mergeCell ref="A54:B54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ignoredErrors>
    <ignoredError sqref="C71:C73" unlocked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M106"/>
  <sheetViews>
    <sheetView showGridLines="0" showZeros="0" topLeftCell="A5" zoomScale="150" zoomScaleNormal="100" workbookViewId="0">
      <selection activeCell="O6" sqref="O6"/>
    </sheetView>
  </sheetViews>
  <sheetFormatPr defaultColWidth="8.85546875" defaultRowHeight="11.1"/>
  <cols>
    <col min="1" max="1" width="28.140625" style="63" customWidth="1"/>
    <col min="2" max="2" width="5.140625" style="424" customWidth="1"/>
    <col min="3" max="13" width="8.42578125" style="63" bestFit="1" customWidth="1"/>
    <col min="14" max="16384" width="8.85546875" style="63"/>
  </cols>
  <sheetData>
    <row r="1" spans="1:13" ht="12.75">
      <c r="A1" s="54"/>
      <c r="B1" s="391"/>
      <c r="C1" s="47"/>
      <c r="D1" s="47"/>
      <c r="E1" s="47"/>
      <c r="F1" s="47"/>
      <c r="G1" s="47"/>
      <c r="H1" s="47"/>
      <c r="I1" s="47"/>
      <c r="J1" s="47"/>
      <c r="K1" s="47"/>
      <c r="L1" s="48" t="s">
        <v>30</v>
      </c>
      <c r="M1" s="49" t="str">
        <f>+Pressupostos!E1</f>
        <v>DUQUESA</v>
      </c>
    </row>
    <row r="2" spans="1:13" ht="11.25">
      <c r="A2" s="54"/>
      <c r="B2" s="391"/>
      <c r="C2" s="54"/>
      <c r="D2" s="54"/>
      <c r="E2" s="54"/>
      <c r="F2" s="54"/>
      <c r="G2" s="54"/>
      <c r="H2" s="54"/>
      <c r="I2" s="54"/>
      <c r="J2" s="54"/>
      <c r="K2" s="54"/>
      <c r="L2" s="54"/>
      <c r="M2" s="52" t="str">
        <f>+Pressupostos!B9</f>
        <v>Euros</v>
      </c>
    </row>
    <row r="3" spans="1:13" ht="11.25">
      <c r="A3" s="54"/>
      <c r="B3" s="391"/>
      <c r="C3" s="54"/>
      <c r="D3" s="54"/>
      <c r="E3" s="54"/>
      <c r="F3" s="54"/>
      <c r="G3" s="54"/>
      <c r="H3" s="54"/>
      <c r="I3" s="54"/>
      <c r="J3" s="54"/>
      <c r="K3" s="54"/>
      <c r="L3" s="54"/>
      <c r="M3" s="52"/>
    </row>
    <row r="4" spans="1:13" ht="15.75">
      <c r="A4" s="526" t="s">
        <v>269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</row>
    <row r="5" spans="1:13" ht="11.25">
      <c r="A5" s="54"/>
      <c r="B5" s="391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</row>
    <row r="6" spans="1:13" ht="11.25">
      <c r="A6" s="54"/>
      <c r="B6" s="391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13" ht="11.25">
      <c r="A7" s="494"/>
      <c r="B7" s="496"/>
      <c r="C7" s="493">
        <f>+VN!C8</f>
        <v>2020</v>
      </c>
      <c r="D7" s="493">
        <f>+VN!D8</f>
        <v>2021</v>
      </c>
      <c r="E7" s="493">
        <f>+VN!E8</f>
        <v>2022</v>
      </c>
      <c r="F7" s="493">
        <f>+VN!F8</f>
        <v>2023</v>
      </c>
      <c r="G7" s="493">
        <f>+VN!G8</f>
        <v>2024</v>
      </c>
      <c r="H7" s="493">
        <f>+VN!H8</f>
        <v>2025</v>
      </c>
      <c r="I7" s="493">
        <f>+VN!I8</f>
        <v>2026</v>
      </c>
      <c r="J7" s="493">
        <f>+VN!J8</f>
        <v>2027</v>
      </c>
      <c r="K7" s="493">
        <f>+VN!K8</f>
        <v>2028</v>
      </c>
      <c r="L7" s="493">
        <f>+VN!L8</f>
        <v>2029</v>
      </c>
      <c r="M7" s="493">
        <f>+VN!M8</f>
        <v>2030</v>
      </c>
    </row>
    <row r="8" spans="1:13" ht="11.25">
      <c r="A8" s="140" t="s">
        <v>270</v>
      </c>
      <c r="B8" s="428"/>
      <c r="C8" s="104">
        <f>Investimento!C29+FundoManeio!C24</f>
        <v>33315.511437428424</v>
      </c>
      <c r="D8" s="104">
        <f>Investimento!D29+FundoManeio!D24</f>
        <v>-205.35866821355557</v>
      </c>
      <c r="E8" s="104">
        <f>Investimento!E29+FundoManeio!J24</f>
        <v>3603.4840804290907</v>
      </c>
      <c r="F8" s="104">
        <f>Investimento!F29+FundoManeio!K24</f>
        <v>13441.984270354618</v>
      </c>
      <c r="G8" s="104">
        <f>Investimento!G29+FundoManeio!L24</f>
        <v>13277.670014704969</v>
      </c>
      <c r="H8" s="104">
        <f>Investimento!H29+FundoManeio!M24</f>
        <v>1855.3632178222506</v>
      </c>
      <c r="I8" s="104">
        <f>Investimento!I29+FundoManeio!N24</f>
        <v>934.14</v>
      </c>
      <c r="J8" s="104">
        <f>Investimento!J29+FundoManeio!O24</f>
        <v>987.21</v>
      </c>
      <c r="K8" s="104">
        <f>Investimento!K29+FundoManeio!P24</f>
        <v>1146.4000000000001</v>
      </c>
      <c r="L8" s="104">
        <f>Investimento!L29+FundoManeio!Q24</f>
        <v>1199.48</v>
      </c>
      <c r="M8" s="104">
        <f>Investimento!M29+FundoManeio!R24</f>
        <v>1199.48</v>
      </c>
    </row>
    <row r="9" spans="1:13" ht="11.25">
      <c r="A9" s="128" t="s">
        <v>271</v>
      </c>
      <c r="B9" s="428"/>
      <c r="C9" s="431">
        <v>0.01</v>
      </c>
      <c r="D9" s="431">
        <v>0.01</v>
      </c>
      <c r="E9" s="431">
        <v>0.01</v>
      </c>
      <c r="F9" s="431">
        <v>0.01</v>
      </c>
      <c r="G9" s="431">
        <v>0.01</v>
      </c>
      <c r="H9" s="431">
        <v>0.01</v>
      </c>
      <c r="I9" s="431">
        <v>0.01</v>
      </c>
      <c r="J9" s="431">
        <v>0.01</v>
      </c>
      <c r="K9" s="431">
        <v>0.01</v>
      </c>
      <c r="L9" s="431">
        <v>0.01</v>
      </c>
      <c r="M9" s="431">
        <v>0.01</v>
      </c>
    </row>
    <row r="10" spans="1:13" ht="12" thickBot="1">
      <c r="A10" s="179" t="s">
        <v>272</v>
      </c>
      <c r="B10" s="429"/>
      <c r="C10" s="147">
        <f t="shared" ref="C10:M10" si="0">+ROUND(C8*(1+C9),-2)</f>
        <v>33600</v>
      </c>
      <c r="D10" s="147">
        <f t="shared" si="0"/>
        <v>-200</v>
      </c>
      <c r="E10" s="147">
        <f t="shared" si="0"/>
        <v>3600</v>
      </c>
      <c r="F10" s="147">
        <f t="shared" si="0"/>
        <v>13600</v>
      </c>
      <c r="G10" s="147">
        <f t="shared" si="0"/>
        <v>13400</v>
      </c>
      <c r="H10" s="147">
        <f t="shared" si="0"/>
        <v>1900</v>
      </c>
      <c r="I10" s="147">
        <f t="shared" si="0"/>
        <v>900</v>
      </c>
      <c r="J10" s="147">
        <f t="shared" si="0"/>
        <v>1000</v>
      </c>
      <c r="K10" s="147">
        <f t="shared" si="0"/>
        <v>1200</v>
      </c>
      <c r="L10" s="147">
        <f t="shared" si="0"/>
        <v>1200</v>
      </c>
      <c r="M10" s="147">
        <f t="shared" si="0"/>
        <v>1200</v>
      </c>
    </row>
    <row r="11" spans="1:13" ht="12" thickTop="1">
      <c r="A11" s="54"/>
      <c r="B11" s="391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ht="11.25">
      <c r="A12" s="54"/>
      <c r="B12" s="391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ht="11.25">
      <c r="A13" s="140" t="s">
        <v>273</v>
      </c>
      <c r="B13" s="428"/>
      <c r="C13" s="493">
        <f>+C7</f>
        <v>2020</v>
      </c>
      <c r="D13" s="493">
        <f>+D7</f>
        <v>2021</v>
      </c>
      <c r="E13" s="493">
        <f>+E7</f>
        <v>2022</v>
      </c>
      <c r="F13" s="493">
        <f t="shared" ref="F13:M13" si="1">+F7</f>
        <v>2023</v>
      </c>
      <c r="G13" s="493">
        <f t="shared" si="1"/>
        <v>2024</v>
      </c>
      <c r="H13" s="493">
        <f t="shared" si="1"/>
        <v>2025</v>
      </c>
      <c r="I13" s="493">
        <f t="shared" si="1"/>
        <v>2026</v>
      </c>
      <c r="J13" s="493">
        <f t="shared" si="1"/>
        <v>2027</v>
      </c>
      <c r="K13" s="493">
        <f t="shared" si="1"/>
        <v>2028</v>
      </c>
      <c r="L13" s="493">
        <f t="shared" si="1"/>
        <v>2029</v>
      </c>
      <c r="M13" s="493">
        <f t="shared" si="1"/>
        <v>2030</v>
      </c>
    </row>
    <row r="14" spans="1:13" ht="11.25">
      <c r="A14" s="55" t="s">
        <v>274</v>
      </c>
      <c r="B14" s="428"/>
      <c r="C14" s="146">
        <f>IF(+'Cash Flow'!C12&gt;0,'Cash Flow'!C12,0)</f>
        <v>0</v>
      </c>
      <c r="D14" s="146">
        <f>IF(+'Cash Flow'!D12&gt;0,'Cash Flow'!D12,0)</f>
        <v>0</v>
      </c>
      <c r="E14" s="146">
        <f>IF(+'Cash Flow'!E12&gt;0,'Cash Flow'!E12,0)</f>
        <v>0</v>
      </c>
      <c r="F14" s="146">
        <f>IF(+'Cash Flow'!F12&gt;0,'Cash Flow'!F12,0)</f>
        <v>0</v>
      </c>
      <c r="G14" s="146">
        <f>IF(+'Cash Flow'!G12&gt;0,'Cash Flow'!G12,0)</f>
        <v>22184.912131893012</v>
      </c>
      <c r="H14" s="146">
        <f>IF(+'Cash Flow'!H12&gt;0,'Cash Flow'!H12,0)</f>
        <v>47377.779796732371</v>
      </c>
      <c r="I14" s="146">
        <f>IF(+'Cash Flow'!I12&gt;0,'Cash Flow'!I12,0)</f>
        <v>57534.870082107002</v>
      </c>
      <c r="J14" s="146">
        <f>IF(+'Cash Flow'!J12&gt;0,'Cash Flow'!J12,0)</f>
        <v>91569.608737329807</v>
      </c>
      <c r="K14" s="146">
        <f>IF(+'Cash Flow'!K12&gt;0,'Cash Flow'!K12,0)</f>
        <v>100739.69455446427</v>
      </c>
      <c r="L14" s="146">
        <f>IF(+'Cash Flow'!L12&gt;0,'Cash Flow'!L12,0)</f>
        <v>113551.73679293142</v>
      </c>
      <c r="M14" s="146">
        <f>IF(+'Cash Flow'!M12&gt;0,'Cash Flow'!M12,0)</f>
        <v>124867.57198475309</v>
      </c>
    </row>
    <row r="15" spans="1:13" ht="11.25">
      <c r="A15" s="55" t="s">
        <v>275</v>
      </c>
      <c r="B15" s="428"/>
      <c r="C15" s="432"/>
      <c r="D15" s="432"/>
      <c r="E15" s="432"/>
      <c r="F15" s="432"/>
      <c r="G15" s="432"/>
      <c r="H15" s="432"/>
      <c r="I15" s="432"/>
      <c r="J15" s="432"/>
      <c r="K15" s="432"/>
      <c r="L15" s="432"/>
      <c r="M15" s="432"/>
    </row>
    <row r="16" spans="1:13" ht="11.25">
      <c r="A16" s="55" t="s">
        <v>276</v>
      </c>
      <c r="B16" s="428"/>
      <c r="C16" s="432"/>
      <c r="D16" s="432"/>
      <c r="E16" s="432"/>
      <c r="F16" s="432"/>
      <c r="G16" s="432"/>
      <c r="H16" s="432"/>
      <c r="I16" s="432"/>
      <c r="J16" s="432"/>
      <c r="K16" s="432"/>
      <c r="L16" s="432"/>
      <c r="M16" s="432"/>
    </row>
    <row r="17" spans="1:13" ht="11.25">
      <c r="A17" s="55" t="s">
        <v>277</v>
      </c>
      <c r="B17" s="428"/>
      <c r="C17" s="432"/>
      <c r="D17" s="432"/>
      <c r="E17" s="432"/>
      <c r="F17" s="432"/>
      <c r="G17" s="432"/>
      <c r="H17" s="432"/>
      <c r="I17" s="432"/>
      <c r="J17" s="432"/>
      <c r="K17" s="432"/>
      <c r="L17" s="432"/>
      <c r="M17" s="432"/>
    </row>
    <row r="18" spans="1:13" ht="11.25">
      <c r="A18" s="55" t="s">
        <v>278</v>
      </c>
      <c r="B18" s="496"/>
      <c r="C18" s="433">
        <v>100000</v>
      </c>
      <c r="D18" s="433">
        <v>50000</v>
      </c>
      <c r="E18" s="433"/>
      <c r="F18" s="433"/>
      <c r="G18" s="433"/>
      <c r="H18" s="433"/>
      <c r="I18" s="433"/>
      <c r="J18" s="433"/>
      <c r="K18" s="433"/>
      <c r="L18" s="433"/>
      <c r="M18" s="433"/>
    </row>
    <row r="19" spans="1:13" ht="11.25">
      <c r="A19" s="327" t="s">
        <v>279</v>
      </c>
      <c r="B19" s="497"/>
      <c r="C19" s="434"/>
      <c r="D19" s="434"/>
      <c r="E19" s="434"/>
      <c r="F19" s="434"/>
      <c r="G19" s="434"/>
      <c r="H19" s="434"/>
      <c r="I19" s="434"/>
      <c r="J19" s="434"/>
      <c r="K19" s="434"/>
      <c r="L19" s="434"/>
      <c r="M19" s="434"/>
    </row>
    <row r="20" spans="1:13" ht="14.25" customHeight="1" thickBot="1">
      <c r="A20" s="548" t="s">
        <v>89</v>
      </c>
      <c r="B20" s="550"/>
      <c r="C20" s="147">
        <f>SUM(C14:C19)</f>
        <v>100000</v>
      </c>
      <c r="D20" s="147">
        <f>SUM(D14:D19)</f>
        <v>50000</v>
      </c>
      <c r="E20" s="147">
        <f>SUM(E14:E19)</f>
        <v>0</v>
      </c>
      <c r="F20" s="147">
        <f t="shared" ref="F20:M20" si="2">SUM(F14:F19)</f>
        <v>0</v>
      </c>
      <c r="G20" s="147">
        <f t="shared" si="2"/>
        <v>22184.912131893012</v>
      </c>
      <c r="H20" s="147">
        <f t="shared" si="2"/>
        <v>47377.779796732371</v>
      </c>
      <c r="I20" s="147">
        <f t="shared" si="2"/>
        <v>57534.870082107002</v>
      </c>
      <c r="J20" s="147">
        <f t="shared" si="2"/>
        <v>91569.608737329807</v>
      </c>
      <c r="K20" s="147">
        <f t="shared" si="2"/>
        <v>100739.69455446427</v>
      </c>
      <c r="L20" s="147">
        <f t="shared" si="2"/>
        <v>113551.73679293142</v>
      </c>
      <c r="M20" s="147">
        <f t="shared" si="2"/>
        <v>124867.57198475309</v>
      </c>
    </row>
    <row r="21" spans="1:13" ht="12" thickTop="1">
      <c r="A21" s="54"/>
      <c r="B21" s="39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</row>
    <row r="22" spans="1:13" ht="11.25">
      <c r="A22" s="54" t="s">
        <v>280</v>
      </c>
      <c r="B22" s="435">
        <v>5</v>
      </c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</row>
    <row r="23" spans="1:13" ht="11.25">
      <c r="A23" s="54" t="s">
        <v>281</v>
      </c>
      <c r="B23" s="436">
        <v>0.08</v>
      </c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</row>
    <row r="24" spans="1:13" ht="11.25">
      <c r="A24" s="54" t="s">
        <v>282</v>
      </c>
      <c r="B24" s="435">
        <v>1</v>
      </c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2"/>
    </row>
    <row r="25" spans="1:13" ht="11.25">
      <c r="A25" s="54"/>
      <c r="B25" s="39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</row>
    <row r="26" spans="1:13" ht="11.25">
      <c r="A26" s="198">
        <f>+C13</f>
        <v>2020</v>
      </c>
      <c r="B26" s="39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</row>
    <row r="27" spans="1:13" ht="11.25">
      <c r="A27" s="55" t="s">
        <v>283</v>
      </c>
      <c r="B27" s="496"/>
      <c r="C27" s="184">
        <f>+C18</f>
        <v>100000</v>
      </c>
      <c r="D27" s="146">
        <f t="shared" ref="D27:M27" si="3">+C33</f>
        <v>100000</v>
      </c>
      <c r="E27" s="146">
        <f t="shared" si="3"/>
        <v>100000</v>
      </c>
      <c r="F27" s="146">
        <f t="shared" si="3"/>
        <v>80000</v>
      </c>
      <c r="G27" s="146">
        <f t="shared" si="3"/>
        <v>60000</v>
      </c>
      <c r="H27" s="146">
        <f t="shared" si="3"/>
        <v>40000</v>
      </c>
      <c r="I27" s="146">
        <f t="shared" si="3"/>
        <v>20000</v>
      </c>
      <c r="J27" s="146">
        <f t="shared" si="3"/>
        <v>0</v>
      </c>
      <c r="K27" s="146">
        <f t="shared" si="3"/>
        <v>0</v>
      </c>
      <c r="L27" s="146">
        <f t="shared" si="3"/>
        <v>0</v>
      </c>
      <c r="M27" s="146">
        <f t="shared" si="3"/>
        <v>0</v>
      </c>
    </row>
    <row r="28" spans="1:13" ht="11.25">
      <c r="A28" s="55" t="s">
        <v>284</v>
      </c>
      <c r="B28" s="496"/>
      <c r="C28" s="186">
        <f t="shared" ref="C28:M28" si="4">$B$23</f>
        <v>0.08</v>
      </c>
      <c r="D28" s="186">
        <f t="shared" si="4"/>
        <v>0.08</v>
      </c>
      <c r="E28" s="186">
        <f t="shared" si="4"/>
        <v>0.08</v>
      </c>
      <c r="F28" s="186">
        <f t="shared" si="4"/>
        <v>0.08</v>
      </c>
      <c r="G28" s="186">
        <f t="shared" si="4"/>
        <v>0.08</v>
      </c>
      <c r="H28" s="186">
        <f t="shared" si="4"/>
        <v>0.08</v>
      </c>
      <c r="I28" s="186">
        <f t="shared" si="4"/>
        <v>0.08</v>
      </c>
      <c r="J28" s="186">
        <f t="shared" si="4"/>
        <v>0.08</v>
      </c>
      <c r="K28" s="186">
        <f t="shared" si="4"/>
        <v>0.08</v>
      </c>
      <c r="L28" s="186">
        <f t="shared" si="4"/>
        <v>0.08</v>
      </c>
      <c r="M28" s="186">
        <f t="shared" si="4"/>
        <v>0.08</v>
      </c>
    </row>
    <row r="29" spans="1:13" ht="11.25">
      <c r="A29" s="55" t="s">
        <v>285</v>
      </c>
      <c r="B29" s="496"/>
      <c r="C29" s="146">
        <f>+C27*C28*FSE!F8/12</f>
        <v>8000</v>
      </c>
      <c r="D29" s="146">
        <f t="shared" ref="D29:M29" si="5">+D27*D28</f>
        <v>8000</v>
      </c>
      <c r="E29" s="146">
        <f t="shared" si="5"/>
        <v>8000</v>
      </c>
      <c r="F29" s="146">
        <f t="shared" si="5"/>
        <v>6400</v>
      </c>
      <c r="G29" s="146">
        <f t="shared" si="5"/>
        <v>4800</v>
      </c>
      <c r="H29" s="146">
        <f t="shared" si="5"/>
        <v>3200</v>
      </c>
      <c r="I29" s="146">
        <f t="shared" si="5"/>
        <v>1600</v>
      </c>
      <c r="J29" s="146">
        <f t="shared" si="5"/>
        <v>0</v>
      </c>
      <c r="K29" s="146">
        <f t="shared" si="5"/>
        <v>0</v>
      </c>
      <c r="L29" s="146">
        <f t="shared" si="5"/>
        <v>0</v>
      </c>
      <c r="M29" s="146">
        <f t="shared" si="5"/>
        <v>0</v>
      </c>
    </row>
    <row r="30" spans="1:13" ht="11.25">
      <c r="A30" s="55" t="s">
        <v>286</v>
      </c>
      <c r="B30" s="496"/>
      <c r="C30" s="146">
        <f>IF($B24&gt;=0,0,C27/B22)</f>
        <v>0</v>
      </c>
      <c r="D30" s="146">
        <f>IF($B24&gt;=1,0,IF(C27=0,0,+$C$27/$B$22))</f>
        <v>0</v>
      </c>
      <c r="E30" s="146">
        <f>IF(B$24&gt;=2,0,IF(D33&lt;=0,0,+$C$27/$B$22))</f>
        <v>20000</v>
      </c>
      <c r="F30" s="146">
        <f>IF($B24&gt;=3,0,IF(E33&lt;=0,0,+$C$27/$B$22))</f>
        <v>20000</v>
      </c>
      <c r="G30" s="146">
        <f>IF($B24&gt;=4,0,IF(F33&lt;=0,0,+$C$27/$B$22))</f>
        <v>20000</v>
      </c>
      <c r="H30" s="146">
        <f>IF($B24&gt;=5,0,IF(G33&lt;=0,0,+$C$27/$B$22))</f>
        <v>20000</v>
      </c>
      <c r="I30" s="146">
        <f>IF($B24&gt;=6,0,IF(H33&lt;=0,0,+$C$27/$B$22))</f>
        <v>20000</v>
      </c>
      <c r="J30" s="146">
        <f>IF($B24&gt;=7,0,IF(I33&lt;=0,0,+$C$27/$B$22))</f>
        <v>0</v>
      </c>
      <c r="K30" s="146">
        <f>IF($B24&gt;=8,0,IF(J33&lt;=0,0,+$C$27/$B$22))</f>
        <v>0</v>
      </c>
      <c r="L30" s="146">
        <f>IF($B24&gt;=9,0,IF(K33&lt;=0,0,+$C$27/$B$22))</f>
        <v>0</v>
      </c>
      <c r="M30" s="146">
        <f>IF($B24&gt;=10,0,IF(L33&lt;=0,0,+$C$27/$B$22))</f>
        <v>0</v>
      </c>
    </row>
    <row r="31" spans="1:13" ht="11.25">
      <c r="A31" s="55" t="s">
        <v>287</v>
      </c>
      <c r="B31" s="496"/>
      <c r="C31" s="146">
        <f>+C29*0.004</f>
        <v>32</v>
      </c>
      <c r="D31" s="146">
        <f>+D29*0.004</f>
        <v>32</v>
      </c>
      <c r="E31" s="146">
        <f>+E29*0.004</f>
        <v>32</v>
      </c>
      <c r="F31" s="146">
        <f t="shared" ref="F31:M31" si="6">+F29*0.004</f>
        <v>25.6</v>
      </c>
      <c r="G31" s="146">
        <f t="shared" si="6"/>
        <v>19.2</v>
      </c>
      <c r="H31" s="146">
        <f t="shared" si="6"/>
        <v>12.8</v>
      </c>
      <c r="I31" s="146">
        <f t="shared" si="6"/>
        <v>6.4</v>
      </c>
      <c r="J31" s="146">
        <f t="shared" si="6"/>
        <v>0</v>
      </c>
      <c r="K31" s="146">
        <f t="shared" si="6"/>
        <v>0</v>
      </c>
      <c r="L31" s="146">
        <f t="shared" si="6"/>
        <v>0</v>
      </c>
      <c r="M31" s="146">
        <f t="shared" si="6"/>
        <v>0</v>
      </c>
    </row>
    <row r="32" spans="1:13" ht="11.25">
      <c r="A32" s="55" t="s">
        <v>288</v>
      </c>
      <c r="B32" s="496"/>
      <c r="C32" s="146">
        <f>+C29+C30+C31</f>
        <v>8032</v>
      </c>
      <c r="D32" s="146">
        <f>+D29+D30+D31</f>
        <v>8032</v>
      </c>
      <c r="E32" s="146">
        <f>+E29+E30+E31</f>
        <v>28032</v>
      </c>
      <c r="F32" s="146">
        <f t="shared" ref="F32:M32" si="7">+F29+F30+F31</f>
        <v>26425.599999999999</v>
      </c>
      <c r="G32" s="146">
        <f t="shared" si="7"/>
        <v>24819.200000000001</v>
      </c>
      <c r="H32" s="146">
        <f t="shared" si="7"/>
        <v>23212.799999999999</v>
      </c>
      <c r="I32" s="146">
        <f t="shared" si="7"/>
        <v>21606.400000000001</v>
      </c>
      <c r="J32" s="146">
        <f t="shared" si="7"/>
        <v>0</v>
      </c>
      <c r="K32" s="146">
        <f t="shared" si="7"/>
        <v>0</v>
      </c>
      <c r="L32" s="146">
        <f t="shared" si="7"/>
        <v>0</v>
      </c>
      <c r="M32" s="146">
        <f t="shared" si="7"/>
        <v>0</v>
      </c>
    </row>
    <row r="33" spans="1:13" ht="11.25">
      <c r="A33" s="55" t="s">
        <v>289</v>
      </c>
      <c r="B33" s="496"/>
      <c r="C33" s="188">
        <f>+C27-C30</f>
        <v>100000</v>
      </c>
      <c r="D33" s="146">
        <f>+D27-D30</f>
        <v>100000</v>
      </c>
      <c r="E33" s="146">
        <f>+E27-E30</f>
        <v>80000</v>
      </c>
      <c r="F33" s="146">
        <f t="shared" ref="F33:M33" si="8">+F27-F30</f>
        <v>60000</v>
      </c>
      <c r="G33" s="146">
        <f t="shared" si="8"/>
        <v>40000</v>
      </c>
      <c r="H33" s="146">
        <f t="shared" si="8"/>
        <v>20000</v>
      </c>
      <c r="I33" s="146">
        <f t="shared" si="8"/>
        <v>0</v>
      </c>
      <c r="J33" s="146">
        <f t="shared" si="8"/>
        <v>0</v>
      </c>
      <c r="K33" s="146">
        <f t="shared" si="8"/>
        <v>0</v>
      </c>
      <c r="L33" s="146">
        <f t="shared" si="8"/>
        <v>0</v>
      </c>
      <c r="M33" s="146">
        <f t="shared" si="8"/>
        <v>0</v>
      </c>
    </row>
    <row r="34" spans="1:13" ht="11.25">
      <c r="A34" s="54"/>
      <c r="B34" s="391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</row>
    <row r="35" spans="1:13" ht="11.25">
      <c r="A35" s="54" t="s">
        <v>280</v>
      </c>
      <c r="B35" s="435">
        <v>5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</row>
    <row r="36" spans="1:13" ht="11.25">
      <c r="A36" s="54" t="s">
        <v>281</v>
      </c>
      <c r="B36" s="436">
        <v>7.0000000000000007E-2</v>
      </c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</row>
    <row r="37" spans="1:13" ht="11.25">
      <c r="A37" s="54" t="s">
        <v>282</v>
      </c>
      <c r="B37" s="435">
        <v>1</v>
      </c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</row>
    <row r="38" spans="1:13" ht="11.25">
      <c r="A38" s="54"/>
      <c r="B38" s="391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</row>
    <row r="39" spans="1:13" ht="11.25">
      <c r="A39" s="198">
        <f>+D13</f>
        <v>2021</v>
      </c>
      <c r="B39" s="391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</row>
    <row r="40" spans="1:13" ht="11.25">
      <c r="A40" s="55" t="s">
        <v>283</v>
      </c>
      <c r="B40" s="496"/>
      <c r="C40" s="184"/>
      <c r="D40" s="146">
        <f>+D18</f>
        <v>50000</v>
      </c>
      <c r="E40" s="146">
        <f>+D46</f>
        <v>50000</v>
      </c>
      <c r="F40" s="146">
        <f t="shared" ref="F40:M40" si="9">+E46</f>
        <v>50000</v>
      </c>
      <c r="G40" s="146">
        <f t="shared" si="9"/>
        <v>40000</v>
      </c>
      <c r="H40" s="146">
        <f t="shared" si="9"/>
        <v>30000</v>
      </c>
      <c r="I40" s="146">
        <f t="shared" si="9"/>
        <v>20000</v>
      </c>
      <c r="J40" s="146">
        <f t="shared" si="9"/>
        <v>10000</v>
      </c>
      <c r="K40" s="146">
        <f t="shared" si="9"/>
        <v>0</v>
      </c>
      <c r="L40" s="146">
        <f t="shared" si="9"/>
        <v>0</v>
      </c>
      <c r="M40" s="146">
        <f t="shared" si="9"/>
        <v>0</v>
      </c>
    </row>
    <row r="41" spans="1:13" ht="11.25">
      <c r="A41" s="55" t="s">
        <v>284</v>
      </c>
      <c r="B41" s="496"/>
      <c r="C41" s="185"/>
      <c r="D41" s="186">
        <f>$B$36</f>
        <v>7.0000000000000007E-2</v>
      </c>
      <c r="E41" s="186">
        <f>$B$36</f>
        <v>7.0000000000000007E-2</v>
      </c>
      <c r="F41" s="186">
        <f t="shared" ref="F41:M41" si="10">$B$36</f>
        <v>7.0000000000000007E-2</v>
      </c>
      <c r="G41" s="186">
        <f t="shared" si="10"/>
        <v>7.0000000000000007E-2</v>
      </c>
      <c r="H41" s="186">
        <f t="shared" si="10"/>
        <v>7.0000000000000007E-2</v>
      </c>
      <c r="I41" s="186">
        <f t="shared" si="10"/>
        <v>7.0000000000000007E-2</v>
      </c>
      <c r="J41" s="186">
        <f t="shared" si="10"/>
        <v>7.0000000000000007E-2</v>
      </c>
      <c r="K41" s="186">
        <f t="shared" si="10"/>
        <v>7.0000000000000007E-2</v>
      </c>
      <c r="L41" s="186">
        <f t="shared" si="10"/>
        <v>7.0000000000000007E-2</v>
      </c>
      <c r="M41" s="186">
        <f t="shared" si="10"/>
        <v>7.0000000000000007E-2</v>
      </c>
    </row>
    <row r="42" spans="1:13" ht="11.25">
      <c r="A42" s="55" t="s">
        <v>285</v>
      </c>
      <c r="B42" s="496"/>
      <c r="C42" s="187"/>
      <c r="D42" s="146">
        <f>+D40*D41</f>
        <v>3500.0000000000005</v>
      </c>
      <c r="E42" s="146">
        <f>+E40*E41</f>
        <v>3500.0000000000005</v>
      </c>
      <c r="F42" s="146">
        <f t="shared" ref="F42:M42" si="11">+F40*F41</f>
        <v>3500.0000000000005</v>
      </c>
      <c r="G42" s="146">
        <f t="shared" si="11"/>
        <v>2800.0000000000005</v>
      </c>
      <c r="H42" s="146">
        <f t="shared" si="11"/>
        <v>2100</v>
      </c>
      <c r="I42" s="146">
        <f t="shared" si="11"/>
        <v>1400.0000000000002</v>
      </c>
      <c r="J42" s="146">
        <f t="shared" si="11"/>
        <v>700.00000000000011</v>
      </c>
      <c r="K42" s="146">
        <f t="shared" si="11"/>
        <v>0</v>
      </c>
      <c r="L42" s="146">
        <f t="shared" si="11"/>
        <v>0</v>
      </c>
      <c r="M42" s="146">
        <f t="shared" si="11"/>
        <v>0</v>
      </c>
    </row>
    <row r="43" spans="1:13" ht="11.25">
      <c r="A43" s="55" t="s">
        <v>286</v>
      </c>
      <c r="B43" s="496"/>
      <c r="C43" s="187"/>
      <c r="D43" s="146">
        <f>IF($B37&gt;=0,0,D40/$B35)</f>
        <v>0</v>
      </c>
      <c r="E43" s="146">
        <f>IF($B37&gt;=1,0,IF(D46&lt;=0,0,+$D$40/$B$35))</f>
        <v>0</v>
      </c>
      <c r="F43" s="146">
        <f>IF($B37&gt;=2,0,IF(E46&lt;=0,0,+$D$40/$B$35))</f>
        <v>10000</v>
      </c>
      <c r="G43" s="146">
        <f>IF($B37&gt;=3,0,IF(F46&lt;=0,0,+$D$40/$B$35))</f>
        <v>10000</v>
      </c>
      <c r="H43" s="146">
        <f>IF($B37&gt;=4,0,IF(G46&lt;=0,0,+$D$40/$B$35))</f>
        <v>10000</v>
      </c>
      <c r="I43" s="146">
        <f>IF($B37&gt;=5,0,IF(H46&lt;=0,0,+$D$40/$B$35))</f>
        <v>10000</v>
      </c>
      <c r="J43" s="146">
        <f>IF($B37&gt;=6,0,IF(I46&lt;=0,0,+$D$40/$B$35))</f>
        <v>10000</v>
      </c>
      <c r="K43" s="146">
        <f>IF($B37&gt;=7,0,IF(J46&lt;=0,0,+$D$40/$B$35))</f>
        <v>0</v>
      </c>
      <c r="L43" s="146">
        <f>IF($B37&gt;=8,0,IF(K46&lt;=0,0,+$D$40/$B$35))</f>
        <v>0</v>
      </c>
      <c r="M43" s="146">
        <f>IF($B37&gt;=9,0,IF(L46&lt;=0,0,+$D$40/$B$35))</f>
        <v>0</v>
      </c>
    </row>
    <row r="44" spans="1:13" ht="11.25">
      <c r="A44" s="55" t="s">
        <v>287</v>
      </c>
      <c r="B44" s="496"/>
      <c r="C44" s="187"/>
      <c r="D44" s="146">
        <f>0.004*D42</f>
        <v>14.000000000000002</v>
      </c>
      <c r="E44" s="146">
        <f>0.004*E42</f>
        <v>14.000000000000002</v>
      </c>
      <c r="F44" s="146">
        <f t="shared" ref="F44:M44" si="12">0.004*F42</f>
        <v>14.000000000000002</v>
      </c>
      <c r="G44" s="146">
        <f t="shared" si="12"/>
        <v>11.200000000000003</v>
      </c>
      <c r="H44" s="146">
        <f t="shared" si="12"/>
        <v>8.4</v>
      </c>
      <c r="I44" s="146">
        <f t="shared" si="12"/>
        <v>5.6000000000000014</v>
      </c>
      <c r="J44" s="146">
        <f t="shared" si="12"/>
        <v>2.8000000000000007</v>
      </c>
      <c r="K44" s="146">
        <f t="shared" si="12"/>
        <v>0</v>
      </c>
      <c r="L44" s="146">
        <f t="shared" si="12"/>
        <v>0</v>
      </c>
      <c r="M44" s="146">
        <f t="shared" si="12"/>
        <v>0</v>
      </c>
    </row>
    <row r="45" spans="1:13" ht="11.25">
      <c r="A45" s="55" t="s">
        <v>288</v>
      </c>
      <c r="B45" s="496"/>
      <c r="C45" s="187"/>
      <c r="D45" s="146">
        <f>+D42+D43+D44</f>
        <v>3514.0000000000005</v>
      </c>
      <c r="E45" s="146">
        <f>+E42+E43+E44</f>
        <v>3514.0000000000005</v>
      </c>
      <c r="F45" s="146">
        <f t="shared" ref="F45:M45" si="13">+F42+F43+F44</f>
        <v>13514</v>
      </c>
      <c r="G45" s="146">
        <f t="shared" si="13"/>
        <v>12811.2</v>
      </c>
      <c r="H45" s="146">
        <f t="shared" si="13"/>
        <v>12108.4</v>
      </c>
      <c r="I45" s="146">
        <f t="shared" si="13"/>
        <v>11405.6</v>
      </c>
      <c r="J45" s="146">
        <f t="shared" si="13"/>
        <v>10702.8</v>
      </c>
      <c r="K45" s="146">
        <f t="shared" si="13"/>
        <v>0</v>
      </c>
      <c r="L45" s="146">
        <f t="shared" si="13"/>
        <v>0</v>
      </c>
      <c r="M45" s="146">
        <f t="shared" si="13"/>
        <v>0</v>
      </c>
    </row>
    <row r="46" spans="1:13" ht="11.25">
      <c r="A46" s="55" t="s">
        <v>289</v>
      </c>
      <c r="B46" s="496"/>
      <c r="C46" s="189"/>
      <c r="D46" s="146">
        <f>+D40-D43</f>
        <v>50000</v>
      </c>
      <c r="E46" s="146">
        <f>+E40-E43</f>
        <v>50000</v>
      </c>
      <c r="F46" s="146">
        <f t="shared" ref="F46:M46" si="14">+F40-F43</f>
        <v>40000</v>
      </c>
      <c r="G46" s="146">
        <f t="shared" si="14"/>
        <v>30000</v>
      </c>
      <c r="H46" s="146">
        <f t="shared" si="14"/>
        <v>20000</v>
      </c>
      <c r="I46" s="146">
        <f t="shared" si="14"/>
        <v>10000</v>
      </c>
      <c r="J46" s="146">
        <f t="shared" si="14"/>
        <v>0</v>
      </c>
      <c r="K46" s="146">
        <f t="shared" si="14"/>
        <v>0</v>
      </c>
      <c r="L46" s="146">
        <f t="shared" si="14"/>
        <v>0</v>
      </c>
      <c r="M46" s="146">
        <f t="shared" si="14"/>
        <v>0</v>
      </c>
    </row>
    <row r="47" spans="1:13" ht="11.25">
      <c r="A47" s="54"/>
      <c r="B47" s="391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</row>
    <row r="48" spans="1:13" ht="11.25">
      <c r="A48" s="54" t="s">
        <v>280</v>
      </c>
      <c r="B48" s="435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</row>
    <row r="49" spans="1:13" ht="11.25">
      <c r="A49" s="54" t="s">
        <v>281</v>
      </c>
      <c r="B49" s="436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</row>
    <row r="50" spans="1:13" ht="11.25">
      <c r="A50" s="54" t="s">
        <v>282</v>
      </c>
      <c r="B50" s="435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</row>
    <row r="51" spans="1:13" ht="11.25">
      <c r="A51" s="54"/>
      <c r="B51" s="391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</row>
    <row r="52" spans="1:13" ht="11.25">
      <c r="A52" s="198">
        <f>+E13</f>
        <v>2022</v>
      </c>
      <c r="B52" s="391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</row>
    <row r="53" spans="1:13" ht="11.25">
      <c r="A53" s="55" t="s">
        <v>283</v>
      </c>
      <c r="B53" s="496"/>
      <c r="C53" s="190">
        <f>+C42</f>
        <v>0</v>
      </c>
      <c r="D53" s="196"/>
      <c r="E53" s="146">
        <f>+E18</f>
        <v>0</v>
      </c>
      <c r="F53" s="146">
        <f>+E59</f>
        <v>0</v>
      </c>
      <c r="G53" s="146">
        <f t="shared" ref="G53:M53" si="15">+F59</f>
        <v>0</v>
      </c>
      <c r="H53" s="146">
        <f t="shared" si="15"/>
        <v>0</v>
      </c>
      <c r="I53" s="146">
        <f t="shared" si="15"/>
        <v>0</v>
      </c>
      <c r="J53" s="146">
        <f t="shared" si="15"/>
        <v>0</v>
      </c>
      <c r="K53" s="146">
        <f t="shared" si="15"/>
        <v>0</v>
      </c>
      <c r="L53" s="146">
        <f t="shared" si="15"/>
        <v>0</v>
      </c>
      <c r="M53" s="146">
        <f t="shared" si="15"/>
        <v>0</v>
      </c>
    </row>
    <row r="54" spans="1:13" ht="11.25">
      <c r="A54" s="55" t="s">
        <v>284</v>
      </c>
      <c r="B54" s="496"/>
      <c r="C54" s="192"/>
      <c r="D54" s="193"/>
      <c r="E54" s="186">
        <f>$B$49</f>
        <v>0</v>
      </c>
      <c r="F54" s="186">
        <f t="shared" ref="F54:M54" si="16">$B$49</f>
        <v>0</v>
      </c>
      <c r="G54" s="186">
        <f t="shared" si="16"/>
        <v>0</v>
      </c>
      <c r="H54" s="186">
        <f t="shared" si="16"/>
        <v>0</v>
      </c>
      <c r="I54" s="186">
        <f t="shared" si="16"/>
        <v>0</v>
      </c>
      <c r="J54" s="186">
        <f t="shared" si="16"/>
        <v>0</v>
      </c>
      <c r="K54" s="186">
        <f t="shared" si="16"/>
        <v>0</v>
      </c>
      <c r="L54" s="186">
        <f t="shared" si="16"/>
        <v>0</v>
      </c>
      <c r="M54" s="186">
        <f t="shared" si="16"/>
        <v>0</v>
      </c>
    </row>
    <row r="55" spans="1:13" ht="11.25">
      <c r="A55" s="55" t="s">
        <v>285</v>
      </c>
      <c r="B55" s="496"/>
      <c r="C55" s="194"/>
      <c r="D55" s="195"/>
      <c r="E55" s="146">
        <f>+E53*E54</f>
        <v>0</v>
      </c>
      <c r="F55" s="188">
        <f>+F53*F54</f>
        <v>0</v>
      </c>
      <c r="G55" s="188">
        <f t="shared" ref="G55:M55" si="17">+G53*G54</f>
        <v>0</v>
      </c>
      <c r="H55" s="188">
        <f t="shared" si="17"/>
        <v>0</v>
      </c>
      <c r="I55" s="188">
        <f t="shared" si="17"/>
        <v>0</v>
      </c>
      <c r="J55" s="188">
        <f t="shared" si="17"/>
        <v>0</v>
      </c>
      <c r="K55" s="188">
        <f t="shared" si="17"/>
        <v>0</v>
      </c>
      <c r="L55" s="188">
        <f t="shared" si="17"/>
        <v>0</v>
      </c>
      <c r="M55" s="188">
        <f t="shared" si="17"/>
        <v>0</v>
      </c>
    </row>
    <row r="56" spans="1:13" ht="11.25">
      <c r="A56" s="55" t="s">
        <v>286</v>
      </c>
      <c r="B56" s="496"/>
      <c r="C56" s="194"/>
      <c r="D56" s="195"/>
      <c r="E56" s="146">
        <f>IF(B50&gt;=0,0,E53/$B$48)</f>
        <v>0</v>
      </c>
      <c r="F56" s="146">
        <f>IF($B50&gt;=1,0,IF(E59&lt;=0,0,$E$53/$B$48))</f>
        <v>0</v>
      </c>
      <c r="G56" s="146">
        <f>IF($B50&gt;=2,0,IF(F59&lt;=0,0,$E$53/$B$48))</f>
        <v>0</v>
      </c>
      <c r="H56" s="146">
        <f>IF($B50&gt;=3,0,IF(G59&lt;=0,0,$E$53/$B$48))</f>
        <v>0</v>
      </c>
      <c r="I56" s="146">
        <f>IF($B50&gt;=4,0,IF(H59&lt;=0,0,$E$53/$B$48))</f>
        <v>0</v>
      </c>
      <c r="J56" s="146">
        <f>IF($B50&gt;=5,0,IF(I59&lt;=0,0,$E$53/$B$48))</f>
        <v>0</v>
      </c>
      <c r="K56" s="146">
        <f>IF($B50&gt;=6,0,IF(J59&lt;=0,0,$E$53/$B$48))</f>
        <v>0</v>
      </c>
      <c r="L56" s="146">
        <f>IF($B50&gt;=7,0,IF(K59&lt;=0,0,$E$53/$B$48))</f>
        <v>0</v>
      </c>
      <c r="M56" s="146">
        <f>IF($B50&gt;=81,0,IF(L59&lt;=0,0,$E$53/$B$48))</f>
        <v>0</v>
      </c>
    </row>
    <row r="57" spans="1:13" ht="11.25">
      <c r="A57" s="55" t="s">
        <v>287</v>
      </c>
      <c r="B57" s="496"/>
      <c r="C57" s="194"/>
      <c r="D57" s="195"/>
      <c r="E57" s="146">
        <f>0.004*E55</f>
        <v>0</v>
      </c>
      <c r="F57" s="188">
        <f>0.004*F55</f>
        <v>0</v>
      </c>
      <c r="G57" s="188">
        <f t="shared" ref="G57:M57" si="18">0.004*G55</f>
        <v>0</v>
      </c>
      <c r="H57" s="188">
        <f t="shared" si="18"/>
        <v>0</v>
      </c>
      <c r="I57" s="188">
        <f t="shared" si="18"/>
        <v>0</v>
      </c>
      <c r="J57" s="188">
        <f t="shared" si="18"/>
        <v>0</v>
      </c>
      <c r="K57" s="188">
        <f t="shared" si="18"/>
        <v>0</v>
      </c>
      <c r="L57" s="188">
        <f t="shared" si="18"/>
        <v>0</v>
      </c>
      <c r="M57" s="188">
        <f t="shared" si="18"/>
        <v>0</v>
      </c>
    </row>
    <row r="58" spans="1:13" ht="11.25">
      <c r="A58" s="55" t="s">
        <v>288</v>
      </c>
      <c r="B58" s="496"/>
      <c r="C58" s="194"/>
      <c r="D58" s="195"/>
      <c r="E58" s="146">
        <f>+E55+E56+E57</f>
        <v>0</v>
      </c>
      <c r="F58" s="188">
        <f>+F55+F56+F57</f>
        <v>0</v>
      </c>
      <c r="G58" s="188">
        <f t="shared" ref="G58:M58" si="19">+G55+G56+G57</f>
        <v>0</v>
      </c>
      <c r="H58" s="188">
        <f t="shared" si="19"/>
        <v>0</v>
      </c>
      <c r="I58" s="188">
        <f t="shared" si="19"/>
        <v>0</v>
      </c>
      <c r="J58" s="188">
        <f t="shared" si="19"/>
        <v>0</v>
      </c>
      <c r="K58" s="188">
        <f t="shared" si="19"/>
        <v>0</v>
      </c>
      <c r="L58" s="188">
        <f t="shared" si="19"/>
        <v>0</v>
      </c>
      <c r="M58" s="188">
        <f t="shared" si="19"/>
        <v>0</v>
      </c>
    </row>
    <row r="59" spans="1:13" ht="11.25">
      <c r="A59" s="55" t="s">
        <v>290</v>
      </c>
      <c r="B59" s="496"/>
      <c r="C59" s="189"/>
      <c r="D59" s="195"/>
      <c r="E59" s="146">
        <f>+E53-E56</f>
        <v>0</v>
      </c>
      <c r="F59" s="188">
        <f>+F53-F56</f>
        <v>0</v>
      </c>
      <c r="G59" s="188">
        <f t="shared" ref="G59:M59" si="20">+G53-G56</f>
        <v>0</v>
      </c>
      <c r="H59" s="188">
        <f t="shared" si="20"/>
        <v>0</v>
      </c>
      <c r="I59" s="188">
        <f t="shared" si="20"/>
        <v>0</v>
      </c>
      <c r="J59" s="188">
        <f t="shared" si="20"/>
        <v>0</v>
      </c>
      <c r="K59" s="188">
        <f t="shared" si="20"/>
        <v>0</v>
      </c>
      <c r="L59" s="188">
        <f t="shared" si="20"/>
        <v>0</v>
      </c>
      <c r="M59" s="188">
        <f t="shared" si="20"/>
        <v>0</v>
      </c>
    </row>
    <row r="60" spans="1:13" ht="11.25">
      <c r="A60" s="54"/>
      <c r="B60" s="391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</row>
    <row r="61" spans="1:13" ht="11.25">
      <c r="A61" s="54" t="s">
        <v>280</v>
      </c>
      <c r="B61" s="435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</row>
    <row r="62" spans="1:13" ht="11.25">
      <c r="A62" s="54" t="s">
        <v>281</v>
      </c>
      <c r="B62" s="436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</row>
    <row r="63" spans="1:13" ht="11.25">
      <c r="A63" s="54" t="s">
        <v>282</v>
      </c>
      <c r="B63" s="435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</row>
    <row r="64" spans="1:13" ht="11.25">
      <c r="A64" s="54"/>
      <c r="B64" s="430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</row>
    <row r="65" spans="1:13" ht="11.25">
      <c r="A65" s="198">
        <f>+F13</f>
        <v>2023</v>
      </c>
      <c r="B65" s="391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</row>
    <row r="66" spans="1:13" ht="11.25">
      <c r="A66" s="55" t="s">
        <v>283</v>
      </c>
      <c r="B66" s="496"/>
      <c r="C66" s="190">
        <f>+C55</f>
        <v>0</v>
      </c>
      <c r="D66" s="196"/>
      <c r="E66" s="191"/>
      <c r="F66" s="146">
        <f>+F18</f>
        <v>0</v>
      </c>
      <c r="G66" s="146">
        <f t="shared" ref="G66:M66" si="21">+F72</f>
        <v>0</v>
      </c>
      <c r="H66" s="146">
        <f t="shared" si="21"/>
        <v>0</v>
      </c>
      <c r="I66" s="146">
        <f>+H72</f>
        <v>0</v>
      </c>
      <c r="J66" s="146">
        <f>+I72</f>
        <v>0</v>
      </c>
      <c r="K66" s="146">
        <f>+J72</f>
        <v>0</v>
      </c>
      <c r="L66" s="146">
        <f t="shared" si="21"/>
        <v>0</v>
      </c>
      <c r="M66" s="146">
        <f t="shared" si="21"/>
        <v>0</v>
      </c>
    </row>
    <row r="67" spans="1:13" ht="11.25">
      <c r="A67" s="55" t="s">
        <v>284</v>
      </c>
      <c r="B67" s="496"/>
      <c r="C67" s="192"/>
      <c r="D67" s="193"/>
      <c r="E67" s="193"/>
      <c r="F67" s="186">
        <f t="shared" ref="F67:M67" si="22">$B$62</f>
        <v>0</v>
      </c>
      <c r="G67" s="186">
        <f t="shared" si="22"/>
        <v>0</v>
      </c>
      <c r="H67" s="186">
        <f t="shared" si="22"/>
        <v>0</v>
      </c>
      <c r="I67" s="186">
        <f t="shared" si="22"/>
        <v>0</v>
      </c>
      <c r="J67" s="186">
        <f t="shared" si="22"/>
        <v>0</v>
      </c>
      <c r="K67" s="186">
        <f t="shared" si="22"/>
        <v>0</v>
      </c>
      <c r="L67" s="186">
        <f t="shared" si="22"/>
        <v>0</v>
      </c>
      <c r="M67" s="186">
        <f t="shared" si="22"/>
        <v>0</v>
      </c>
    </row>
    <row r="68" spans="1:13" ht="11.25">
      <c r="A68" s="55" t="s">
        <v>285</v>
      </c>
      <c r="B68" s="496"/>
      <c r="C68" s="194"/>
      <c r="D68" s="195"/>
      <c r="E68" s="195"/>
      <c r="F68" s="146">
        <f>+F66*F67</f>
        <v>0</v>
      </c>
      <c r="G68" s="146">
        <f t="shared" ref="G68:M68" si="23">+G66*G67</f>
        <v>0</v>
      </c>
      <c r="H68" s="188">
        <f t="shared" si="23"/>
        <v>0</v>
      </c>
      <c r="I68" s="188">
        <f t="shared" si="23"/>
        <v>0</v>
      </c>
      <c r="J68" s="188">
        <f t="shared" si="23"/>
        <v>0</v>
      </c>
      <c r="K68" s="188">
        <f t="shared" si="23"/>
        <v>0</v>
      </c>
      <c r="L68" s="188">
        <f t="shared" si="23"/>
        <v>0</v>
      </c>
      <c r="M68" s="188">
        <f t="shared" si="23"/>
        <v>0</v>
      </c>
    </row>
    <row r="69" spans="1:13" ht="11.25">
      <c r="A69" s="55" t="s">
        <v>286</v>
      </c>
      <c r="B69" s="496"/>
      <c r="C69" s="194"/>
      <c r="D69" s="195"/>
      <c r="E69" s="195"/>
      <c r="F69" s="146">
        <f>IF(B63&gt;=0,0,+F66/B61)</f>
        <v>0</v>
      </c>
      <c r="G69" s="188">
        <f>IF($B63&gt;=1,0,IF(F72&lt;=0,0,$F$66/$B$61))</f>
        <v>0</v>
      </c>
      <c r="H69" s="188">
        <f>IF($B63&gt;=2,0,IF(G72&lt;=0,0,$F$66/$B$61))</f>
        <v>0</v>
      </c>
      <c r="I69" s="188">
        <f>IF($B63&gt;=3,0,IF(H72&lt;=0,0,$F$66/$B$61))</f>
        <v>0</v>
      </c>
      <c r="J69" s="188">
        <f>IF($B63&gt;=4,0,IF(I72&lt;=0,0,$F$66/$B$61))</f>
        <v>0</v>
      </c>
      <c r="K69" s="188">
        <f>IF($B63&gt;=5,0,IF(J72&lt;=0,0,$F$66/$B$61))</f>
        <v>0</v>
      </c>
      <c r="L69" s="188">
        <f>IF($B63&gt;=6,0,IF(K72&lt;=0,0,$F$66/$B$61))</f>
        <v>0</v>
      </c>
      <c r="M69" s="188">
        <f>IF($B63&gt;=7,0,IF(L72&lt;=0,0,$F$66/$B$61))</f>
        <v>0</v>
      </c>
    </row>
    <row r="70" spans="1:13" ht="11.25">
      <c r="A70" s="55" t="s">
        <v>287</v>
      </c>
      <c r="B70" s="496"/>
      <c r="C70" s="194"/>
      <c r="D70" s="195"/>
      <c r="E70" s="195"/>
      <c r="F70" s="146">
        <f>+F68*0.004</f>
        <v>0</v>
      </c>
      <c r="G70" s="146">
        <f t="shared" ref="G70:M70" si="24">+G68*0.004</f>
        <v>0</v>
      </c>
      <c r="H70" s="188">
        <f t="shared" si="24"/>
        <v>0</v>
      </c>
      <c r="I70" s="188">
        <f t="shared" si="24"/>
        <v>0</v>
      </c>
      <c r="J70" s="188">
        <f t="shared" si="24"/>
        <v>0</v>
      </c>
      <c r="K70" s="188">
        <f t="shared" si="24"/>
        <v>0</v>
      </c>
      <c r="L70" s="188">
        <f t="shared" si="24"/>
        <v>0</v>
      </c>
      <c r="M70" s="188">
        <f t="shared" si="24"/>
        <v>0</v>
      </c>
    </row>
    <row r="71" spans="1:13" ht="11.25">
      <c r="A71" s="55" t="s">
        <v>288</v>
      </c>
      <c r="B71" s="496"/>
      <c r="C71" s="194"/>
      <c r="D71" s="195"/>
      <c r="E71" s="195"/>
      <c r="F71" s="146">
        <f>+F68+F69+F70</f>
        <v>0</v>
      </c>
      <c r="G71" s="146">
        <f t="shared" ref="G71:M71" si="25">+G68+G69+G70</f>
        <v>0</v>
      </c>
      <c r="H71" s="188">
        <f t="shared" si="25"/>
        <v>0</v>
      </c>
      <c r="I71" s="188">
        <f t="shared" si="25"/>
        <v>0</v>
      </c>
      <c r="J71" s="188">
        <f t="shared" si="25"/>
        <v>0</v>
      </c>
      <c r="K71" s="188">
        <f t="shared" si="25"/>
        <v>0</v>
      </c>
      <c r="L71" s="188">
        <f t="shared" si="25"/>
        <v>0</v>
      </c>
      <c r="M71" s="188">
        <f t="shared" si="25"/>
        <v>0</v>
      </c>
    </row>
    <row r="72" spans="1:13" ht="11.25">
      <c r="A72" s="55" t="s">
        <v>289</v>
      </c>
      <c r="B72" s="496"/>
      <c r="C72" s="189"/>
      <c r="D72" s="195"/>
      <c r="E72" s="195"/>
      <c r="F72" s="146">
        <f>+F66-F69</f>
        <v>0</v>
      </c>
      <c r="G72" s="146">
        <f t="shared" ref="G72:M72" si="26">+G66-G69</f>
        <v>0</v>
      </c>
      <c r="H72" s="146">
        <f t="shared" si="26"/>
        <v>0</v>
      </c>
      <c r="I72" s="146">
        <f t="shared" si="26"/>
        <v>0</v>
      </c>
      <c r="J72" s="146">
        <f t="shared" si="26"/>
        <v>0</v>
      </c>
      <c r="K72" s="146">
        <f t="shared" si="26"/>
        <v>0</v>
      </c>
      <c r="L72" s="188">
        <f t="shared" si="26"/>
        <v>0</v>
      </c>
      <c r="M72" s="188">
        <f t="shared" si="26"/>
        <v>0</v>
      </c>
    </row>
    <row r="73" spans="1:13" ht="11.25">
      <c r="A73" s="54"/>
      <c r="B73" s="391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</row>
    <row r="74" spans="1:13" ht="11.25">
      <c r="A74" s="54" t="s">
        <v>280</v>
      </c>
      <c r="B74" s="435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</row>
    <row r="75" spans="1:13" ht="11.25">
      <c r="A75" s="54" t="s">
        <v>281</v>
      </c>
      <c r="B75" s="436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</row>
    <row r="76" spans="1:13" ht="11.25">
      <c r="A76" s="54" t="s">
        <v>282</v>
      </c>
      <c r="B76" s="435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</row>
    <row r="77" spans="1:13" ht="11.25">
      <c r="A77" s="54"/>
      <c r="B77" s="391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</row>
    <row r="78" spans="1:13" ht="11.25">
      <c r="A78" s="198">
        <f>+G13</f>
        <v>2024</v>
      </c>
      <c r="B78" s="391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</row>
    <row r="79" spans="1:13" ht="11.25">
      <c r="A79" s="55" t="s">
        <v>283</v>
      </c>
      <c r="B79" s="496"/>
      <c r="C79" s="190">
        <f>+C68</f>
        <v>0</v>
      </c>
      <c r="D79" s="196"/>
      <c r="E79" s="195"/>
      <c r="F79" s="195"/>
      <c r="G79" s="146">
        <f>+G18</f>
        <v>0</v>
      </c>
      <c r="H79" s="146">
        <f t="shared" ref="H79:M79" si="27">+G85</f>
        <v>0</v>
      </c>
      <c r="I79" s="146">
        <f t="shared" si="27"/>
        <v>0</v>
      </c>
      <c r="J79" s="146">
        <f t="shared" si="27"/>
        <v>0</v>
      </c>
      <c r="K79" s="146">
        <f t="shared" si="27"/>
        <v>0</v>
      </c>
      <c r="L79" s="146">
        <f t="shared" si="27"/>
        <v>0</v>
      </c>
      <c r="M79" s="146">
        <f t="shared" si="27"/>
        <v>0</v>
      </c>
    </row>
    <row r="80" spans="1:13" ht="11.25">
      <c r="A80" s="55" t="s">
        <v>284</v>
      </c>
      <c r="B80" s="496"/>
      <c r="C80" s="192"/>
      <c r="D80" s="193"/>
      <c r="E80" s="193"/>
      <c r="F80" s="193"/>
      <c r="G80" s="186">
        <f t="shared" ref="G80:M80" si="28">$B$75</f>
        <v>0</v>
      </c>
      <c r="H80" s="186">
        <f t="shared" si="28"/>
        <v>0</v>
      </c>
      <c r="I80" s="186">
        <f t="shared" si="28"/>
        <v>0</v>
      </c>
      <c r="J80" s="186">
        <f t="shared" si="28"/>
        <v>0</v>
      </c>
      <c r="K80" s="186">
        <f t="shared" si="28"/>
        <v>0</v>
      </c>
      <c r="L80" s="186">
        <f t="shared" si="28"/>
        <v>0</v>
      </c>
      <c r="M80" s="186">
        <f t="shared" si="28"/>
        <v>0</v>
      </c>
    </row>
    <row r="81" spans="1:13" ht="11.25">
      <c r="A81" s="55" t="s">
        <v>285</v>
      </c>
      <c r="B81" s="496"/>
      <c r="C81" s="194"/>
      <c r="D81" s="195"/>
      <c r="E81" s="195"/>
      <c r="F81" s="195"/>
      <c r="G81" s="146">
        <f>+G79*G80</f>
        <v>0</v>
      </c>
      <c r="H81" s="146">
        <f t="shared" ref="H81:M81" si="29">+H79*H80</f>
        <v>0</v>
      </c>
      <c r="I81" s="146">
        <f t="shared" si="29"/>
        <v>0</v>
      </c>
      <c r="J81" s="146">
        <f t="shared" si="29"/>
        <v>0</v>
      </c>
      <c r="K81" s="146">
        <f t="shared" si="29"/>
        <v>0</v>
      </c>
      <c r="L81" s="146">
        <f t="shared" si="29"/>
        <v>0</v>
      </c>
      <c r="M81" s="146">
        <f t="shared" si="29"/>
        <v>0</v>
      </c>
    </row>
    <row r="82" spans="1:13" ht="11.25">
      <c r="A82" s="55" t="s">
        <v>286</v>
      </c>
      <c r="B82" s="496"/>
      <c r="C82" s="194"/>
      <c r="D82" s="195"/>
      <c r="E82" s="195"/>
      <c r="F82" s="195"/>
      <c r="G82" s="146">
        <f>IF(B76&gt;=0,0,+G79/B74)</f>
        <v>0</v>
      </c>
      <c r="H82" s="188">
        <f>IF($B76&gt;=1,0,IF(G85&lt;=0,0,$G$79/$B$74))</f>
        <v>0</v>
      </c>
      <c r="I82" s="188">
        <f>IF($B76&gt;=2,0,IF(H85&lt;=0,0,$G$79/$B$74))</f>
        <v>0</v>
      </c>
      <c r="J82" s="188">
        <f>IF($B76&gt;=3,0,IF(I85&lt;=0,0,$G$79/$B$74))</f>
        <v>0</v>
      </c>
      <c r="K82" s="188">
        <f>IF($B76&gt;=4,0,IF(J85&lt;=0,0,$G$79/$B$74))</f>
        <v>0</v>
      </c>
      <c r="L82" s="188">
        <f>IF($B76&gt;=5,0,IF(K85&lt;=0,0,$G$79/$B$74))</f>
        <v>0</v>
      </c>
      <c r="M82" s="188">
        <f>IF($B76&gt;=6,0,IF(L85&lt;=0,0,$G$79/$B$74))</f>
        <v>0</v>
      </c>
    </row>
    <row r="83" spans="1:13" ht="11.25">
      <c r="A83" s="55" t="s">
        <v>287</v>
      </c>
      <c r="B83" s="496"/>
      <c r="C83" s="194"/>
      <c r="D83" s="195"/>
      <c r="E83" s="195"/>
      <c r="F83" s="195"/>
      <c r="G83" s="146">
        <f>+G81*0.004</f>
        <v>0</v>
      </c>
      <c r="H83" s="146">
        <f t="shared" ref="H83:M83" si="30">+H81*0.004</f>
        <v>0</v>
      </c>
      <c r="I83" s="188">
        <f t="shared" si="30"/>
        <v>0</v>
      </c>
      <c r="J83" s="146">
        <f t="shared" si="30"/>
        <v>0</v>
      </c>
      <c r="K83" s="188">
        <f t="shared" si="30"/>
        <v>0</v>
      </c>
      <c r="L83" s="146">
        <f t="shared" si="30"/>
        <v>0</v>
      </c>
      <c r="M83" s="188">
        <f t="shared" si="30"/>
        <v>0</v>
      </c>
    </row>
    <row r="84" spans="1:13" ht="11.25">
      <c r="A84" s="55" t="s">
        <v>288</v>
      </c>
      <c r="B84" s="496"/>
      <c r="C84" s="194"/>
      <c r="D84" s="195"/>
      <c r="E84" s="195"/>
      <c r="F84" s="195"/>
      <c r="G84" s="146">
        <f>+G81+G82+G83</f>
        <v>0</v>
      </c>
      <c r="H84" s="146">
        <f t="shared" ref="H84:M84" si="31">+H81+H82+H83</f>
        <v>0</v>
      </c>
      <c r="I84" s="188">
        <f t="shared" si="31"/>
        <v>0</v>
      </c>
      <c r="J84" s="146">
        <f t="shared" si="31"/>
        <v>0</v>
      </c>
      <c r="K84" s="188">
        <f t="shared" si="31"/>
        <v>0</v>
      </c>
      <c r="L84" s="146">
        <f t="shared" si="31"/>
        <v>0</v>
      </c>
      <c r="M84" s="188">
        <f t="shared" si="31"/>
        <v>0</v>
      </c>
    </row>
    <row r="85" spans="1:13" ht="11.25">
      <c r="A85" s="55" t="s">
        <v>289</v>
      </c>
      <c r="B85" s="496"/>
      <c r="C85" s="189"/>
      <c r="D85" s="195"/>
      <c r="E85" s="195"/>
      <c r="F85" s="195"/>
      <c r="G85" s="146">
        <f>+G79-G82</f>
        <v>0</v>
      </c>
      <c r="H85" s="146">
        <f t="shared" ref="H85:M85" si="32">+H79-H82</f>
        <v>0</v>
      </c>
      <c r="I85" s="146">
        <f t="shared" si="32"/>
        <v>0</v>
      </c>
      <c r="J85" s="146">
        <f t="shared" si="32"/>
        <v>0</v>
      </c>
      <c r="K85" s="146">
        <f t="shared" si="32"/>
        <v>0</v>
      </c>
      <c r="L85" s="146">
        <f t="shared" si="32"/>
        <v>0</v>
      </c>
      <c r="M85" s="146">
        <f t="shared" si="32"/>
        <v>0</v>
      </c>
    </row>
    <row r="86" spans="1:13" ht="11.25">
      <c r="A86" s="54"/>
      <c r="B86" s="391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</row>
    <row r="87" spans="1:13" ht="11.25">
      <c r="A87" s="54" t="s">
        <v>280</v>
      </c>
      <c r="B87" s="435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</row>
    <row r="88" spans="1:13" ht="11.25">
      <c r="A88" s="54" t="s">
        <v>281</v>
      </c>
      <c r="B88" s="436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</row>
    <row r="89" spans="1:13" ht="11.25">
      <c r="A89" s="54" t="s">
        <v>282</v>
      </c>
      <c r="B89" s="435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</row>
    <row r="90" spans="1:13" ht="11.25">
      <c r="A90" s="54"/>
      <c r="B90" s="430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</row>
    <row r="91" spans="1:13" ht="11.25">
      <c r="A91" s="198">
        <f>+H13</f>
        <v>2025</v>
      </c>
      <c r="B91" s="391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</row>
    <row r="92" spans="1:13" ht="11.25">
      <c r="A92" s="55" t="s">
        <v>283</v>
      </c>
      <c r="B92" s="496"/>
      <c r="C92" s="190">
        <f>+C81</f>
        <v>0</v>
      </c>
      <c r="D92" s="196"/>
      <c r="E92" s="196"/>
      <c r="F92" s="196"/>
      <c r="G92" s="196"/>
      <c r="H92" s="146">
        <f>+H18</f>
        <v>0</v>
      </c>
      <c r="I92" s="146">
        <f>+H98</f>
        <v>0</v>
      </c>
      <c r="J92" s="146">
        <f>+I98</f>
        <v>0</v>
      </c>
      <c r="K92" s="146">
        <f>+J98</f>
        <v>0</v>
      </c>
      <c r="L92" s="146">
        <f>+K98</f>
        <v>0</v>
      </c>
      <c r="M92" s="146">
        <f>+L98</f>
        <v>0</v>
      </c>
    </row>
    <row r="93" spans="1:13" ht="11.25">
      <c r="A93" s="55" t="s">
        <v>284</v>
      </c>
      <c r="B93" s="496"/>
      <c r="C93" s="192"/>
      <c r="D93" s="193"/>
      <c r="E93" s="193"/>
      <c r="F93" s="193"/>
      <c r="G93" s="193"/>
      <c r="H93" s="186">
        <f t="shared" ref="H93:M93" si="33">$B$88</f>
        <v>0</v>
      </c>
      <c r="I93" s="186">
        <f t="shared" si="33"/>
        <v>0</v>
      </c>
      <c r="J93" s="186">
        <f t="shared" si="33"/>
        <v>0</v>
      </c>
      <c r="K93" s="186">
        <f t="shared" si="33"/>
        <v>0</v>
      </c>
      <c r="L93" s="186">
        <f t="shared" si="33"/>
        <v>0</v>
      </c>
      <c r="M93" s="186">
        <f t="shared" si="33"/>
        <v>0</v>
      </c>
    </row>
    <row r="94" spans="1:13" ht="11.25">
      <c r="A94" s="55" t="s">
        <v>285</v>
      </c>
      <c r="B94" s="496"/>
      <c r="C94" s="194"/>
      <c r="D94" s="195"/>
      <c r="E94" s="195"/>
      <c r="F94" s="195"/>
      <c r="G94" s="195"/>
      <c r="H94" s="146">
        <f t="shared" ref="H94:M94" si="34">+H92*H93</f>
        <v>0</v>
      </c>
      <c r="I94" s="146">
        <f t="shared" si="34"/>
        <v>0</v>
      </c>
      <c r="J94" s="146">
        <f t="shared" si="34"/>
        <v>0</v>
      </c>
      <c r="K94" s="146">
        <f t="shared" si="34"/>
        <v>0</v>
      </c>
      <c r="L94" s="146">
        <f t="shared" si="34"/>
        <v>0</v>
      </c>
      <c r="M94" s="146">
        <f t="shared" si="34"/>
        <v>0</v>
      </c>
    </row>
    <row r="95" spans="1:13" ht="11.25">
      <c r="A95" s="55" t="s">
        <v>286</v>
      </c>
      <c r="B95" s="496"/>
      <c r="C95" s="194"/>
      <c r="D95" s="195"/>
      <c r="E95" s="195"/>
      <c r="F95" s="195"/>
      <c r="G95" s="195"/>
      <c r="H95" s="146">
        <f>IF(B89&gt;=0,0,+H92/B87)</f>
        <v>0</v>
      </c>
      <c r="I95" s="188">
        <f>IF($B89&gt;=1,0,IF(H98&lt;=0,0,$H$92/B87))</f>
        <v>0</v>
      </c>
      <c r="J95" s="188">
        <f>IF($B89&gt;=2,0,IF(I98&lt;=0,0,$H$92/$B87))</f>
        <v>0</v>
      </c>
      <c r="K95" s="188">
        <f>IF($B89&gt;=3,0,IF(J98&lt;=0,0,$H$92/$B87))</f>
        <v>0</v>
      </c>
      <c r="L95" s="188">
        <f>IF($B89&gt;=4,0,IF(K98&lt;=0,0,$H$92/$B87))</f>
        <v>0</v>
      </c>
      <c r="M95" s="188">
        <f>IF($B89&gt;=5,0,IF(L98&lt;=0,0,$H$92/$B87))</f>
        <v>0</v>
      </c>
    </row>
    <row r="96" spans="1:13" ht="11.25">
      <c r="A96" s="55" t="s">
        <v>287</v>
      </c>
      <c r="B96" s="496"/>
      <c r="C96" s="194"/>
      <c r="D96" s="195"/>
      <c r="E96" s="195"/>
      <c r="F96" s="195"/>
      <c r="G96" s="195"/>
      <c r="H96" s="146">
        <f t="shared" ref="H96:M96" si="35">0.004*H94</f>
        <v>0</v>
      </c>
      <c r="I96" s="146">
        <f t="shared" si="35"/>
        <v>0</v>
      </c>
      <c r="J96" s="146">
        <f t="shared" si="35"/>
        <v>0</v>
      </c>
      <c r="K96" s="146">
        <f t="shared" si="35"/>
        <v>0</v>
      </c>
      <c r="L96" s="146">
        <f t="shared" si="35"/>
        <v>0</v>
      </c>
      <c r="M96" s="146">
        <f t="shared" si="35"/>
        <v>0</v>
      </c>
    </row>
    <row r="97" spans="1:13" ht="11.25">
      <c r="A97" s="55" t="s">
        <v>288</v>
      </c>
      <c r="B97" s="496"/>
      <c r="C97" s="194"/>
      <c r="D97" s="195"/>
      <c r="E97" s="195"/>
      <c r="F97" s="195"/>
      <c r="G97" s="195"/>
      <c r="H97" s="146">
        <f t="shared" ref="H97:M97" si="36">+H94+H95+H96</f>
        <v>0</v>
      </c>
      <c r="I97" s="146">
        <f t="shared" si="36"/>
        <v>0</v>
      </c>
      <c r="J97" s="146">
        <f t="shared" si="36"/>
        <v>0</v>
      </c>
      <c r="K97" s="146">
        <f t="shared" si="36"/>
        <v>0</v>
      </c>
      <c r="L97" s="146">
        <f t="shared" si="36"/>
        <v>0</v>
      </c>
      <c r="M97" s="146">
        <f t="shared" si="36"/>
        <v>0</v>
      </c>
    </row>
    <row r="98" spans="1:13" ht="11.25">
      <c r="A98" s="55" t="s">
        <v>289</v>
      </c>
      <c r="B98" s="496"/>
      <c r="C98" s="189"/>
      <c r="D98" s="195"/>
      <c r="E98" s="195"/>
      <c r="F98" s="195"/>
      <c r="G98" s="195"/>
      <c r="H98" s="146">
        <f t="shared" ref="H98:M98" si="37">+H92-H95</f>
        <v>0</v>
      </c>
      <c r="I98" s="146">
        <f t="shared" si="37"/>
        <v>0</v>
      </c>
      <c r="J98" s="146">
        <f t="shared" si="37"/>
        <v>0</v>
      </c>
      <c r="K98" s="146">
        <f t="shared" si="37"/>
        <v>0</v>
      </c>
      <c r="L98" s="146">
        <f t="shared" si="37"/>
        <v>0</v>
      </c>
      <c r="M98" s="146">
        <f t="shared" si="37"/>
        <v>0</v>
      </c>
    </row>
    <row r="99" spans="1:13" ht="11.25">
      <c r="A99" s="54"/>
      <c r="B99" s="391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</row>
    <row r="100" spans="1:13" ht="11.25">
      <c r="A100" s="54"/>
      <c r="B100" s="391"/>
      <c r="C100" s="54"/>
      <c r="D100" s="197"/>
      <c r="E100" s="54"/>
      <c r="F100" s="54"/>
      <c r="G100" s="54"/>
      <c r="H100" s="54"/>
      <c r="I100" s="54"/>
      <c r="J100" s="54"/>
      <c r="K100" s="54"/>
      <c r="L100" s="54"/>
      <c r="M100" s="54"/>
    </row>
    <row r="101" spans="1:13" ht="11.25">
      <c r="A101" s="140" t="s">
        <v>291</v>
      </c>
      <c r="B101" s="428"/>
      <c r="C101" s="104">
        <f>+C33+C46+C59+C72+C85+C98</f>
        <v>100000</v>
      </c>
      <c r="D101" s="104">
        <f>+D33+D46+D59+D72+D85+D98</f>
        <v>150000</v>
      </c>
      <c r="E101" s="104">
        <f>+E33+E46+E59+E72+E85+E98</f>
        <v>130000</v>
      </c>
      <c r="F101" s="104">
        <f t="shared" ref="F101:M101" si="38">+F33+F46+F59+F72+F85+F98</f>
        <v>100000</v>
      </c>
      <c r="G101" s="104">
        <f t="shared" si="38"/>
        <v>70000</v>
      </c>
      <c r="H101" s="104">
        <f t="shared" si="38"/>
        <v>40000</v>
      </c>
      <c r="I101" s="104">
        <f t="shared" si="38"/>
        <v>10000</v>
      </c>
      <c r="J101" s="104">
        <f t="shared" si="38"/>
        <v>0</v>
      </c>
      <c r="K101" s="104">
        <f t="shared" si="38"/>
        <v>0</v>
      </c>
      <c r="L101" s="104">
        <f t="shared" si="38"/>
        <v>0</v>
      </c>
      <c r="M101" s="104">
        <f t="shared" si="38"/>
        <v>0</v>
      </c>
    </row>
    <row r="102" spans="1:13" ht="11.25">
      <c r="A102" s="54"/>
      <c r="B102" s="391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</row>
    <row r="103" spans="1:13" ht="11.25">
      <c r="A103" s="140" t="s">
        <v>292</v>
      </c>
      <c r="B103" s="428"/>
      <c r="C103" s="104">
        <f>+C29+C42+C55+C68+C81+C94+C31+C44+C57+C70+C83+C96</f>
        <v>8032</v>
      </c>
      <c r="D103" s="104">
        <f>+D29+D42+D55+D68+D81+D94+D31+D44+D57+D70+D83+D96</f>
        <v>11546</v>
      </c>
      <c r="E103" s="104">
        <f>+E29+E42+E55+E68+E81+E94+E31+E44+E57+E70+E83+E96</f>
        <v>11546</v>
      </c>
      <c r="F103" s="104">
        <f t="shared" ref="F103:M103" si="39">+F29+F42+F55+F68+F81+F94+F31+F44+F57+F70+F83+F96</f>
        <v>9939.6</v>
      </c>
      <c r="G103" s="104">
        <f t="shared" si="39"/>
        <v>7630.4</v>
      </c>
      <c r="H103" s="104">
        <f t="shared" si="39"/>
        <v>5321.2</v>
      </c>
      <c r="I103" s="104">
        <f t="shared" si="39"/>
        <v>3012</v>
      </c>
      <c r="J103" s="104">
        <f t="shared" si="39"/>
        <v>702.80000000000007</v>
      </c>
      <c r="K103" s="104">
        <f t="shared" si="39"/>
        <v>0</v>
      </c>
      <c r="L103" s="104">
        <f t="shared" si="39"/>
        <v>0</v>
      </c>
      <c r="M103" s="104">
        <f t="shared" si="39"/>
        <v>0</v>
      </c>
    </row>
    <row r="104" spans="1:13" ht="11.25">
      <c r="A104" s="140" t="s">
        <v>293</v>
      </c>
      <c r="B104" s="428"/>
      <c r="C104" s="104">
        <f>+C30+C43+C56+C69+C82+C95</f>
        <v>0</v>
      </c>
      <c r="D104" s="104">
        <f>+D30+D43+D56+D69+D82+D95</f>
        <v>0</v>
      </c>
      <c r="E104" s="104">
        <f>+E30+E43+E56+E69+E82+E95</f>
        <v>20000</v>
      </c>
      <c r="F104" s="104">
        <f t="shared" ref="F104:M104" si="40">+F30+F43+F56+F69+F82+F95</f>
        <v>30000</v>
      </c>
      <c r="G104" s="104">
        <f t="shared" si="40"/>
        <v>30000</v>
      </c>
      <c r="H104" s="104">
        <f t="shared" si="40"/>
        <v>30000</v>
      </c>
      <c r="I104" s="104">
        <f t="shared" si="40"/>
        <v>30000</v>
      </c>
      <c r="J104" s="104">
        <f t="shared" si="40"/>
        <v>10000</v>
      </c>
      <c r="K104" s="104">
        <f t="shared" si="40"/>
        <v>0</v>
      </c>
      <c r="L104" s="104">
        <f t="shared" si="40"/>
        <v>0</v>
      </c>
      <c r="M104" s="104">
        <f t="shared" si="40"/>
        <v>0</v>
      </c>
    </row>
    <row r="106" spans="1:13" ht="11.25">
      <c r="E106" s="157"/>
      <c r="F106" s="157"/>
      <c r="G106" s="157"/>
      <c r="H106" s="157"/>
      <c r="I106" s="157"/>
      <c r="J106" s="157"/>
      <c r="K106" s="157"/>
      <c r="L106" s="157"/>
      <c r="M106" s="157"/>
    </row>
  </sheetData>
  <sheetProtection password="8318" sheet="1"/>
  <mergeCells count="2">
    <mergeCell ref="A4:M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3"/>
  <sheetViews>
    <sheetView showGridLines="0" showZeros="0" zoomScaleNormal="100" workbookViewId="0">
      <selection activeCell="D11" sqref="D11"/>
    </sheetView>
  </sheetViews>
  <sheetFormatPr defaultColWidth="8.85546875" defaultRowHeight="11.1"/>
  <cols>
    <col min="1" max="1" width="29.42578125" style="63" customWidth="1"/>
    <col min="2" max="12" width="9.140625" style="63" customWidth="1"/>
    <col min="13" max="16384" width="8.85546875" style="63"/>
  </cols>
  <sheetData>
    <row r="1" spans="1:12" ht="12.75">
      <c r="A1" s="54"/>
      <c r="B1" s="54"/>
      <c r="C1" s="85"/>
      <c r="D1" s="47"/>
      <c r="E1" s="47"/>
      <c r="F1" s="47"/>
      <c r="G1" s="47"/>
      <c r="H1" s="47"/>
      <c r="I1" s="47"/>
      <c r="J1" s="47"/>
      <c r="K1" s="87" t="s">
        <v>30</v>
      </c>
      <c r="L1" s="87" t="str">
        <f>+Pressupostos!E1</f>
        <v>DUQUESA</v>
      </c>
    </row>
    <row r="2" spans="1:12" ht="11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2" t="str">
        <f>+Pressupostos!B9</f>
        <v>Euros</v>
      </c>
    </row>
    <row r="3" spans="1:12" ht="11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2"/>
    </row>
    <row r="4" spans="1:12" ht="15.75">
      <c r="A4" s="526" t="s">
        <v>294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</row>
    <row r="5" spans="1:12" ht="11.25">
      <c r="A5" s="54"/>
      <c r="B5" s="139"/>
      <c r="C5" s="54"/>
      <c r="D5" s="54"/>
      <c r="E5" s="54"/>
      <c r="F5" s="54"/>
      <c r="G5" s="54"/>
      <c r="H5" s="54"/>
      <c r="I5" s="54"/>
      <c r="J5" s="54"/>
      <c r="K5" s="54"/>
      <c r="L5" s="54"/>
    </row>
    <row r="6" spans="1:12" ht="11.25">
      <c r="A6" s="54"/>
      <c r="B6" s="199"/>
      <c r="C6" s="54"/>
      <c r="D6" s="54"/>
      <c r="E6" s="54"/>
      <c r="F6" s="54"/>
      <c r="G6" s="54"/>
      <c r="H6" s="54"/>
      <c r="I6" s="54"/>
      <c r="J6" s="54"/>
      <c r="K6" s="54"/>
      <c r="L6" s="54"/>
    </row>
    <row r="7" spans="1:12" ht="11.25">
      <c r="A7" s="128"/>
      <c r="B7" s="493">
        <f>+VN!C8</f>
        <v>2020</v>
      </c>
      <c r="C7" s="493">
        <f>+VN!D8</f>
        <v>2021</v>
      </c>
      <c r="D7" s="493">
        <f>+VN!E8</f>
        <v>2022</v>
      </c>
      <c r="E7" s="493">
        <f>+VN!F8</f>
        <v>2023</v>
      </c>
      <c r="F7" s="493">
        <f>+VN!G8</f>
        <v>2024</v>
      </c>
      <c r="G7" s="493">
        <f>+VN!H8</f>
        <v>2025</v>
      </c>
      <c r="H7" s="493">
        <f>+VN!I8</f>
        <v>2026</v>
      </c>
      <c r="I7" s="493">
        <f>+VN!J8</f>
        <v>2027</v>
      </c>
      <c r="J7" s="493">
        <f>+VN!K8</f>
        <v>2028</v>
      </c>
      <c r="K7" s="493">
        <f>+VN!L8</f>
        <v>2029</v>
      </c>
      <c r="L7" s="493">
        <f>+VN!M8</f>
        <v>2030</v>
      </c>
    </row>
    <row r="8" spans="1:12" ht="11.25">
      <c r="A8" s="116" t="str">
        <f>DR!A8</f>
        <v>Vendas e serviços prestados</v>
      </c>
      <c r="B8" s="363">
        <f>DR!B8</f>
        <v>21930</v>
      </c>
      <c r="C8" s="363">
        <f>DR!C8</f>
        <v>39374.85</v>
      </c>
      <c r="D8" s="363">
        <f>DR!D8</f>
        <v>73158.608319999999</v>
      </c>
      <c r="E8" s="363">
        <f>DR!E8</f>
        <v>118739.2916048</v>
      </c>
      <c r="F8" s="363">
        <f>DR!F8</f>
        <v>175977.35832918721</v>
      </c>
      <c r="G8" s="363">
        <f>DR!G8</f>
        <v>240070.0350466051</v>
      </c>
      <c r="H8" s="363">
        <f>DR!H8</f>
        <v>307701.62533807708</v>
      </c>
      <c r="I8" s="363">
        <f>DR!I8</f>
        <v>373203.50469885836</v>
      </c>
      <c r="J8" s="363">
        <f>DR!J8</f>
        <v>418190.66340600763</v>
      </c>
      <c r="K8" s="363">
        <f>DR!K8</f>
        <v>444925.52484325878</v>
      </c>
      <c r="L8" s="363">
        <f>DR!L8</f>
        <v>469171.92928212381</v>
      </c>
    </row>
    <row r="9" spans="1:12" ht="11.25">
      <c r="A9" s="128" t="str">
        <f>DR!A11</f>
        <v>Variação nos inventários da produção</v>
      </c>
      <c r="B9" s="363">
        <f>DR!B11</f>
        <v>0</v>
      </c>
      <c r="C9" s="363">
        <f>DR!C11</f>
        <v>0</v>
      </c>
      <c r="D9" s="363">
        <f>DR!D11</f>
        <v>0</v>
      </c>
      <c r="E9" s="363">
        <f>DR!E11</f>
        <v>0</v>
      </c>
      <c r="F9" s="363">
        <f>DR!F11</f>
        <v>0</v>
      </c>
      <c r="G9" s="363">
        <f>DR!G11</f>
        <v>0</v>
      </c>
      <c r="H9" s="363">
        <f>DR!H11</f>
        <v>0</v>
      </c>
      <c r="I9" s="363">
        <f>DR!I11</f>
        <v>0</v>
      </c>
      <c r="J9" s="363">
        <f>DR!J11</f>
        <v>0</v>
      </c>
      <c r="K9" s="363">
        <f>DR!K11</f>
        <v>0</v>
      </c>
      <c r="L9" s="363">
        <f>DR!L11</f>
        <v>0</v>
      </c>
    </row>
    <row r="10" spans="1:12" ht="11.25">
      <c r="A10" s="128" t="s">
        <v>117</v>
      </c>
      <c r="B10" s="363">
        <f>DR!B13</f>
        <v>6891.4792714740406</v>
      </c>
      <c r="C10" s="363">
        <f>DR!C13</f>
        <v>12479.320315539804</v>
      </c>
      <c r="D10" s="363">
        <f>DR!D13</f>
        <v>22798.592388448695</v>
      </c>
      <c r="E10" s="363">
        <f>DR!E13</f>
        <v>35832.928492546285</v>
      </c>
      <c r="F10" s="363">
        <f>DR!F13</f>
        <v>52200.076709370158</v>
      </c>
      <c r="G10" s="363">
        <f>DR!G13</f>
        <v>70448.163515895954</v>
      </c>
      <c r="H10" s="363">
        <f>DR!H13</f>
        <v>88668.648924184468</v>
      </c>
      <c r="I10" s="363">
        <f>DR!I13</f>
        <v>105894.31431995785</v>
      </c>
      <c r="J10" s="363">
        <f>DR!J13</f>
        <v>117025.47202808101</v>
      </c>
      <c r="K10" s="363">
        <f>DR!K13</f>
        <v>123568.34800015617</v>
      </c>
      <c r="L10" s="363">
        <f>DR!L13</f>
        <v>129516.60395613647</v>
      </c>
    </row>
    <row r="11" spans="1:12" ht="11.25">
      <c r="A11" s="128" t="s">
        <v>295</v>
      </c>
      <c r="B11" s="363">
        <f>FSE!F47</f>
        <v>0</v>
      </c>
      <c r="C11" s="363">
        <f>FSE!G47</f>
        <v>0</v>
      </c>
      <c r="D11" s="363">
        <f>FSE!H47</f>
        <v>0</v>
      </c>
      <c r="E11" s="363">
        <f>FSE!I47</f>
        <v>0</v>
      </c>
      <c r="F11" s="363">
        <f>FSE!J47</f>
        <v>0</v>
      </c>
      <c r="G11" s="363">
        <f>FSE!K47</f>
        <v>0</v>
      </c>
      <c r="H11" s="363">
        <f>FSE!L47</f>
        <v>0</v>
      </c>
      <c r="I11" s="363">
        <f>FSE!M47</f>
        <v>0</v>
      </c>
      <c r="J11" s="363">
        <f>FSE!N47</f>
        <v>0</v>
      </c>
      <c r="K11" s="363">
        <f>FSE!O47</f>
        <v>0</v>
      </c>
      <c r="L11" s="363">
        <f>FSE!P47</f>
        <v>0</v>
      </c>
    </row>
    <row r="12" spans="1:12" ht="11.25">
      <c r="A12" s="361" t="s">
        <v>296</v>
      </c>
      <c r="B12" s="364">
        <f>B8+B9-B10-B11</f>
        <v>15038.52072852596</v>
      </c>
      <c r="C12" s="364">
        <f>C8+C9-C10-C11</f>
        <v>26895.529684460194</v>
      </c>
      <c r="D12" s="364">
        <f>D8+D9-D10-D11</f>
        <v>50360.015931551301</v>
      </c>
      <c r="E12" s="364">
        <f t="shared" ref="E12:L12" si="0">E8+E9-E10-E11</f>
        <v>82906.363112253719</v>
      </c>
      <c r="F12" s="364">
        <f t="shared" si="0"/>
        <v>123777.28161981705</v>
      </c>
      <c r="G12" s="364">
        <f t="shared" si="0"/>
        <v>169621.87153070915</v>
      </c>
      <c r="H12" s="364">
        <f t="shared" si="0"/>
        <v>219032.97641389261</v>
      </c>
      <c r="I12" s="364">
        <f t="shared" si="0"/>
        <v>267309.1903789005</v>
      </c>
      <c r="J12" s="364">
        <f t="shared" si="0"/>
        <v>301165.19137792662</v>
      </c>
      <c r="K12" s="364">
        <f t="shared" si="0"/>
        <v>321357.17684310261</v>
      </c>
      <c r="L12" s="364">
        <f t="shared" si="0"/>
        <v>339655.3253259873</v>
      </c>
    </row>
    <row r="13" spans="1:12" ht="11.25">
      <c r="A13" s="362" t="s">
        <v>297</v>
      </c>
      <c r="B13" s="452">
        <f>IF(B8&gt;0,(FSE!F45+DR!B15+DR!B24+DR!B25+DR!B18)/(B12/'Ponto Crítico'!B8),"")</f>
        <v>103151.53103506408</v>
      </c>
      <c r="C13" s="452">
        <f>IF(C8&gt;0,(FSE!G45+DR!C15+DR!C24+DR!C25+DR!C18)/(C12/'Ponto Crítico'!C8),"")</f>
        <v>105357.62889871186</v>
      </c>
      <c r="D13" s="452">
        <f>IF(D8&gt;0,(FSE!H45+DR!D15+DR!D24+DR!D25+DR!D18)/(D12/'Ponto Crítico'!D8),"")</f>
        <v>107065.11080253674</v>
      </c>
      <c r="E13" s="452">
        <f>IF(E8&gt;0,(FSE!I45+DR!E15+DR!E24+DR!E25+DR!E18)/(E12/'Ponto Crítico'!E8),"")</f>
        <v>147557.29197309169</v>
      </c>
      <c r="F13" s="452">
        <f>IF(F8&gt;0,(FSE!J45+DR!F15+DR!F24+DR!F25+DR!F18)/(F12/'Ponto Crítico'!F8),"")</f>
        <v>150029.52338098717</v>
      </c>
      <c r="G13" s="452">
        <f>IF(G8&gt;0,(FSE!K45+DR!G15+DR!G24+DR!G25+DR!G18)/(G12/'Ponto Crítico'!G8),"")</f>
        <v>151234.34605954203</v>
      </c>
      <c r="H13" s="452">
        <f>IF(H8&gt;0,(FSE!L45+DR!H15+DR!H24+DR!H25+DR!H18)/(H12/'Ponto Crítico'!H8),"")</f>
        <v>200516.7852951824</v>
      </c>
      <c r="I13" s="452">
        <f>IF(I8&gt;0,(FSE!M45+DR!I15+DR!I24+DR!I25+DR!I18)/(I12/'Ponto Crítico'!I8),"")</f>
        <v>203356.3012706633</v>
      </c>
      <c r="J13" s="452">
        <f>IF(J8&gt;0,(FSE!N45+DR!J15+DR!J24+DR!J25+DR!J18)/(J12/'Ponto Crítico'!J8),"")</f>
        <v>232385.23698713066</v>
      </c>
      <c r="K13" s="452">
        <f>IF(K8&gt;0,(FSE!O45+DR!K15+DR!K24+DR!K25+DR!K18)/(K12/'Ponto Crítico'!K8),"")</f>
        <v>236044.04082181925</v>
      </c>
      <c r="L13" s="452">
        <f>IF(L8&gt;0,(FSE!P45+DR!L15+DR!L24+DR!L25+DR!L18)/(L12/'Ponto Crítico'!L8),"")</f>
        <v>239932.5882992777</v>
      </c>
    </row>
  </sheetData>
  <sheetProtection password="8318" sheet="1"/>
  <mergeCells count="1">
    <mergeCell ref="A4:L4"/>
  </mergeCells>
  <phoneticPr fontId="18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L32"/>
  <sheetViews>
    <sheetView showGridLines="0" showZeros="0" zoomScaleNormal="100" workbookViewId="0">
      <selection activeCell="D10" sqref="D10"/>
    </sheetView>
  </sheetViews>
  <sheetFormatPr defaultColWidth="8.85546875" defaultRowHeight="11.1"/>
  <cols>
    <col min="1" max="1" width="45.85546875" style="63" bestFit="1" customWidth="1"/>
    <col min="2" max="2" width="7.85546875" style="63" bestFit="1" customWidth="1"/>
    <col min="3" max="10" width="7.85546875" style="63" customWidth="1"/>
    <col min="11" max="11" width="7.85546875" style="63" bestFit="1" customWidth="1"/>
    <col min="12" max="12" width="8" style="63" customWidth="1"/>
    <col min="13" max="16384" width="8.85546875" style="63"/>
  </cols>
  <sheetData>
    <row r="1" spans="1:12" ht="12.75">
      <c r="A1" s="54"/>
      <c r="B1" s="54"/>
      <c r="C1" s="85"/>
      <c r="D1" s="47"/>
      <c r="E1" s="47"/>
      <c r="F1" s="47"/>
      <c r="G1" s="47"/>
      <c r="H1" s="47"/>
      <c r="I1" s="47"/>
      <c r="J1" s="47"/>
      <c r="K1" s="437" t="s">
        <v>30</v>
      </c>
      <c r="L1" s="437" t="str">
        <f>+Pressupostos!E1</f>
        <v>DUQUESA</v>
      </c>
    </row>
    <row r="2" spans="1:12" ht="11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2" t="str">
        <f>+Pressupostos!B9</f>
        <v>Euros</v>
      </c>
    </row>
    <row r="3" spans="1:12" ht="11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2"/>
    </row>
    <row r="4" spans="1:12" ht="15.75">
      <c r="A4" s="526" t="s">
        <v>298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</row>
    <row r="5" spans="1:12" ht="11.25">
      <c r="A5" s="54"/>
      <c r="B5" s="139"/>
      <c r="C5" s="54"/>
      <c r="D5" s="54"/>
      <c r="E5" s="54"/>
      <c r="F5" s="54"/>
      <c r="G5" s="54"/>
      <c r="H5" s="54"/>
      <c r="I5" s="54"/>
      <c r="J5" s="54"/>
      <c r="K5" s="54"/>
      <c r="L5" s="54"/>
    </row>
    <row r="6" spans="1:12" ht="11.25">
      <c r="A6" s="54"/>
      <c r="B6" s="199"/>
      <c r="C6" s="54"/>
      <c r="D6" s="54"/>
      <c r="E6" s="54"/>
      <c r="F6" s="54"/>
      <c r="G6" s="54"/>
      <c r="H6" s="54"/>
      <c r="I6" s="54"/>
      <c r="J6" s="54"/>
      <c r="K6" s="54"/>
      <c r="L6" s="54"/>
    </row>
    <row r="7" spans="1:12" ht="11.25">
      <c r="A7" s="128"/>
      <c r="B7" s="493">
        <f>+VN!C8</f>
        <v>2020</v>
      </c>
      <c r="C7" s="493">
        <f>+VN!D8</f>
        <v>2021</v>
      </c>
      <c r="D7" s="493">
        <f>+VN!E8</f>
        <v>2022</v>
      </c>
      <c r="E7" s="493">
        <f>+VN!F8</f>
        <v>2023</v>
      </c>
      <c r="F7" s="493">
        <f>+VN!G8</f>
        <v>2024</v>
      </c>
      <c r="G7" s="493">
        <f>+VN!H8</f>
        <v>2025</v>
      </c>
      <c r="H7" s="493">
        <f>+VN!I8</f>
        <v>2026</v>
      </c>
      <c r="I7" s="493">
        <f>+VN!J8</f>
        <v>2027</v>
      </c>
      <c r="J7" s="493">
        <f>+VN!K8</f>
        <v>2028</v>
      </c>
      <c r="K7" s="493">
        <f>+VN!L8</f>
        <v>2029</v>
      </c>
      <c r="L7" s="493">
        <f>+VN!M8</f>
        <v>2030</v>
      </c>
    </row>
    <row r="8" spans="1:12" ht="11.25">
      <c r="A8" s="128" t="s">
        <v>299</v>
      </c>
      <c r="B8" s="200">
        <f>+VN!C80</f>
        <v>21930</v>
      </c>
      <c r="C8" s="200">
        <f>+VN!D80</f>
        <v>39374.85</v>
      </c>
      <c r="D8" s="200">
        <f>+VN!E80</f>
        <v>73158.608319999999</v>
      </c>
      <c r="E8" s="200">
        <f>+VN!F80</f>
        <v>118739.2916048</v>
      </c>
      <c r="F8" s="200">
        <f>+VN!G80</f>
        <v>175977.35832918721</v>
      </c>
      <c r="G8" s="200">
        <f>+VN!H80</f>
        <v>240070.0350466051</v>
      </c>
      <c r="H8" s="200">
        <f>+VN!I80</f>
        <v>307701.62533807708</v>
      </c>
      <c r="I8" s="200">
        <f>+VN!J80</f>
        <v>373203.50469885836</v>
      </c>
      <c r="J8" s="200">
        <f>+VN!K80</f>
        <v>418190.66340600763</v>
      </c>
      <c r="K8" s="200">
        <f>+VN!L80</f>
        <v>444925.52484325878</v>
      </c>
      <c r="L8" s="200">
        <f>+VN!M80</f>
        <v>469171.92928212381</v>
      </c>
    </row>
    <row r="9" spans="1:12" ht="11.25">
      <c r="A9" s="128" t="s">
        <v>300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 ht="11.25">
      <c r="A10" s="106" t="s">
        <v>301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ht="11.25">
      <c r="A11" s="128" t="s">
        <v>302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ht="11.25">
      <c r="A12" s="128" t="s">
        <v>303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ht="11.25">
      <c r="A13" s="128" t="s">
        <v>117</v>
      </c>
      <c r="B13" s="200">
        <f>+CMVMC!C16</f>
        <v>6891.4792714740406</v>
      </c>
      <c r="C13" s="200">
        <f>+CMVMC!D16</f>
        <v>12479.320315539804</v>
      </c>
      <c r="D13" s="200">
        <f>+CMVMC!E16</f>
        <v>22798.592388448695</v>
      </c>
      <c r="E13" s="200">
        <f>+CMVMC!F16</f>
        <v>35832.928492546285</v>
      </c>
      <c r="F13" s="200">
        <f>+CMVMC!G16</f>
        <v>52200.076709370158</v>
      </c>
      <c r="G13" s="200">
        <f>+CMVMC!H16</f>
        <v>70448.163515895954</v>
      </c>
      <c r="H13" s="200">
        <f>+CMVMC!I16</f>
        <v>88668.648924184468</v>
      </c>
      <c r="I13" s="200">
        <f>+CMVMC!J16</f>
        <v>105894.31431995785</v>
      </c>
      <c r="J13" s="200">
        <f>+CMVMC!K16</f>
        <v>117025.47202808101</v>
      </c>
      <c r="K13" s="200">
        <f>+CMVMC!L16</f>
        <v>123568.34800015617</v>
      </c>
      <c r="L13" s="200">
        <f>+CMVMC!M16</f>
        <v>129516.60395613647</v>
      </c>
    </row>
    <row r="14" spans="1:12" ht="11.25">
      <c r="A14" s="128" t="s">
        <v>304</v>
      </c>
      <c r="B14" s="200">
        <f>+FSE!F43</f>
        <v>29801.616000000002</v>
      </c>
      <c r="C14" s="200">
        <f>+FSE!G43</f>
        <v>30144.318360000001</v>
      </c>
      <c r="D14" s="200">
        <f>+FSE!H43</f>
        <v>30983.3615436</v>
      </c>
      <c r="E14" s="200">
        <f>+FSE!I43</f>
        <v>31125.395159036001</v>
      </c>
      <c r="F14" s="200">
        <f>+FSE!J43</f>
        <v>31645.449110626359</v>
      </c>
      <c r="G14" s="200">
        <f>+FSE!K43</f>
        <v>32190.603601732626</v>
      </c>
      <c r="H14" s="200">
        <f>+FSE!L43</f>
        <v>32761.109637749949</v>
      </c>
      <c r="I14" s="200">
        <f>+FSE!M43</f>
        <v>33626.91872912745</v>
      </c>
      <c r="J14" s="200">
        <f>+FSE!N43</f>
        <v>34233.687916418727</v>
      </c>
      <c r="K14" s="200">
        <f>+FSE!O43</f>
        <v>34876.524795582911</v>
      </c>
      <c r="L14" s="200">
        <f>+FSE!P43</f>
        <v>35565.690043538743</v>
      </c>
    </row>
    <row r="15" spans="1:12" ht="11.25">
      <c r="A15" s="128" t="s">
        <v>305</v>
      </c>
      <c r="B15" s="200">
        <f>+'Gastos com Pessoal'!D94</f>
        <v>34464.75</v>
      </c>
      <c r="C15" s="200">
        <f>+'Gastos com Pessoal'!E94</f>
        <v>35075.744999999995</v>
      </c>
      <c r="D15" s="200">
        <f>+'Gastos com Pessoal'!F94</f>
        <v>35694.886600000005</v>
      </c>
      <c r="E15" s="200">
        <f>+'Gastos com Pessoal'!G94</f>
        <v>62925.083333333336</v>
      </c>
      <c r="F15" s="200">
        <f>+'Gastos com Pessoal'!H94</f>
        <v>65384.185000000005</v>
      </c>
      <c r="G15" s="200">
        <f>+'Gastos com Pessoal'!I94</f>
        <v>74361.738200000007</v>
      </c>
      <c r="H15" s="200">
        <f>+'Gastos com Pessoal'!J94</f>
        <v>109662.5</v>
      </c>
      <c r="I15" s="200">
        <f>+'Gastos com Pessoal'!K94</f>
        <v>111699.15</v>
      </c>
      <c r="J15" s="200">
        <f>+'Gastos com Pessoal'!L94</f>
        <v>132739.2885</v>
      </c>
      <c r="K15" s="200">
        <f>+'Gastos com Pessoal'!M94</f>
        <v>135211.61187916668</v>
      </c>
      <c r="L15" s="200">
        <f>+'Gastos com Pessoal'!N94</f>
        <v>137732.81485833332</v>
      </c>
    </row>
    <row r="16" spans="1:12" ht="11.25">
      <c r="A16" s="128" t="s">
        <v>306</v>
      </c>
      <c r="B16" s="3">
        <v>0</v>
      </c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ht="11.25">
      <c r="A17" s="128" t="s">
        <v>307</v>
      </c>
      <c r="B17" s="200">
        <f>+VN!C87</f>
        <v>0</v>
      </c>
      <c r="C17" s="200">
        <f>+VN!D87</f>
        <v>0</v>
      </c>
      <c r="D17" s="200">
        <f>+VN!E87</f>
        <v>0</v>
      </c>
      <c r="E17" s="200">
        <f>+VN!F87</f>
        <v>0</v>
      </c>
      <c r="F17" s="200">
        <f>+VN!G87</f>
        <v>0</v>
      </c>
      <c r="G17" s="200">
        <f>+VN!H87</f>
        <v>0</v>
      </c>
      <c r="H17" s="200">
        <f>+VN!I87</f>
        <v>0</v>
      </c>
      <c r="I17" s="200">
        <f>+VN!J87</f>
        <v>0</v>
      </c>
      <c r="J17" s="200">
        <f>+VN!K87</f>
        <v>0</v>
      </c>
      <c r="K17" s="200">
        <f>+VN!L87</f>
        <v>0</v>
      </c>
      <c r="L17" s="200">
        <f>+VN!M87</f>
        <v>0</v>
      </c>
    </row>
    <row r="18" spans="1:12" ht="11.25">
      <c r="A18" s="128" t="s">
        <v>308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ht="11.25">
      <c r="A19" s="128" t="s">
        <v>309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ht="11.25">
      <c r="A20" s="128" t="s">
        <v>310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ht="11.25">
      <c r="A21" s="128" t="s">
        <v>311</v>
      </c>
      <c r="B21" s="3">
        <v>0</v>
      </c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ht="11.25">
      <c r="A22" s="128" t="s">
        <v>312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ht="12" thickBot="1">
      <c r="A23" s="201" t="s">
        <v>313</v>
      </c>
      <c r="B23" s="36">
        <f>+B8+B9+B10+B11+B12-B13-B14-B15-B16-B17-B18-B19-B20+B21-B22</f>
        <v>-49227.845271474042</v>
      </c>
      <c r="C23" s="36">
        <f>+C8+C9+C10+C11+C12-C13-C14-C15-C16-C17-C18-C19-C20+C21-C22</f>
        <v>-38324.533675539802</v>
      </c>
      <c r="D23" s="36">
        <f t="shared" ref="D23:L23" si="0">+D8+D9+D10+D11+D12-D13-D14-D15-D16-D17-D18-D19-D20+D21-D22</f>
        <v>-16318.232212048704</v>
      </c>
      <c r="E23" s="36">
        <f t="shared" si="0"/>
        <v>-11144.115380115618</v>
      </c>
      <c r="F23" s="36">
        <f t="shared" si="0"/>
        <v>26747.647509190683</v>
      </c>
      <c r="G23" s="36">
        <f t="shared" si="0"/>
        <v>63069.5297289765</v>
      </c>
      <c r="H23" s="36">
        <f t="shared" si="0"/>
        <v>76609.366776142677</v>
      </c>
      <c r="I23" s="36">
        <f t="shared" si="0"/>
        <v>121983.12164977306</v>
      </c>
      <c r="J23" s="36">
        <f t="shared" si="0"/>
        <v>134192.21496150791</v>
      </c>
      <c r="K23" s="36">
        <f t="shared" si="0"/>
        <v>151269.04016835301</v>
      </c>
      <c r="L23" s="36">
        <f t="shared" si="0"/>
        <v>166356.82042411523</v>
      </c>
    </row>
    <row r="24" spans="1:12" ht="12" thickTop="1">
      <c r="A24" s="128" t="s">
        <v>314</v>
      </c>
      <c r="B24" s="200">
        <f>+Investimento!C168</f>
        <v>6469.9056666666675</v>
      </c>
      <c r="C24" s="200">
        <f>+Investimento!D168</f>
        <v>6745.9056666666675</v>
      </c>
      <c r="D24" s="200">
        <f>+Investimento!E168</f>
        <v>7021.9056666666675</v>
      </c>
      <c r="E24" s="200">
        <f>+Investimento!F168</f>
        <v>8977.241</v>
      </c>
      <c r="F24" s="200">
        <f>+Investimento!G168</f>
        <v>8496.7060000000001</v>
      </c>
      <c r="G24" s="200">
        <f>+Investimento!H168</f>
        <v>302.52999999999997</v>
      </c>
      <c r="H24" s="200">
        <f>+Investimento!I168</f>
        <v>311.38</v>
      </c>
      <c r="I24" s="200">
        <f>+Investimento!J168</f>
        <v>329.07</v>
      </c>
      <c r="J24" s="200">
        <f>+Investimento!K168</f>
        <v>382.13333333333333</v>
      </c>
      <c r="K24" s="200">
        <f>+Investimento!L168</f>
        <v>399.82666666666665</v>
      </c>
      <c r="L24" s="200">
        <f>+Investimento!M168</f>
        <v>399.82666666666665</v>
      </c>
    </row>
    <row r="25" spans="1:12" ht="11.25">
      <c r="A25" s="128" t="s">
        <v>315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ht="12" thickBot="1">
      <c r="A26" s="201" t="s">
        <v>316</v>
      </c>
      <c r="B26" s="36">
        <f>+B23-B24-B25</f>
        <v>-55697.750938140707</v>
      </c>
      <c r="C26" s="36">
        <f>+C23-C24-C25</f>
        <v>-45070.439342206468</v>
      </c>
      <c r="D26" s="36">
        <f t="shared" ref="D26:L26" si="1">+D23-D24-D25</f>
        <v>-23340.137878715374</v>
      </c>
      <c r="E26" s="36">
        <f t="shared" si="1"/>
        <v>-20121.35638011562</v>
      </c>
      <c r="F26" s="36">
        <f t="shared" si="1"/>
        <v>18250.941509190685</v>
      </c>
      <c r="G26" s="36">
        <f t="shared" si="1"/>
        <v>62766.999728976502</v>
      </c>
      <c r="H26" s="36">
        <f t="shared" si="1"/>
        <v>76297.986776142672</v>
      </c>
      <c r="I26" s="36">
        <f t="shared" si="1"/>
        <v>121654.05164977306</v>
      </c>
      <c r="J26" s="36">
        <f t="shared" si="1"/>
        <v>133810.08162817458</v>
      </c>
      <c r="K26" s="36">
        <f t="shared" si="1"/>
        <v>150869.21350168635</v>
      </c>
      <c r="L26" s="36">
        <f t="shared" si="1"/>
        <v>165956.99375744857</v>
      </c>
    </row>
    <row r="27" spans="1:12" ht="12" thickTop="1">
      <c r="A27" s="128" t="s">
        <v>317</v>
      </c>
      <c r="B27" s="200">
        <f>+IF(PlanoFinanceiro!C29&gt;0,PlanoFinanceiro!C29*Pressupostos!$B$31,0)</f>
        <v>0</v>
      </c>
      <c r="C27" s="200">
        <f>+IF(PlanoFinanceiro!D29&gt;0,PlanoFinanceiro!D29*Pressupostos!$B$31,0)</f>
        <v>0</v>
      </c>
      <c r="D27" s="200">
        <f>+IF(PlanoFinanceiro!E29&gt;0,PlanoFinanceiro!E29*Pressupostos!$B$31,0)</f>
        <v>0</v>
      </c>
      <c r="E27" s="200">
        <f>+IF(PlanoFinanceiro!F29&gt;0,PlanoFinanceiro!F29*Pressupostos!$B$31,0)</f>
        <v>0</v>
      </c>
      <c r="F27" s="200">
        <f>+IF(PlanoFinanceiro!G29&gt;0,PlanoFinanceiro!G29*Pressupostos!$B$31,0)</f>
        <v>0</v>
      </c>
      <c r="G27" s="200">
        <f>+IF(PlanoFinanceiro!H29&gt;0,PlanoFinanceiro!H29*Pressupostos!$B$31,0)</f>
        <v>0</v>
      </c>
      <c r="H27" s="200">
        <f>+IF(PlanoFinanceiro!I29&gt;0,PlanoFinanceiro!I29*Pressupostos!$B$31,0)</f>
        <v>0</v>
      </c>
      <c r="I27" s="200">
        <f>+IF(PlanoFinanceiro!J29&gt;0,PlanoFinanceiro!J29*Pressupostos!$B$31,0)</f>
        <v>0</v>
      </c>
      <c r="J27" s="200">
        <f>+IF(PlanoFinanceiro!K29&gt;0,PlanoFinanceiro!K29*Pressupostos!$B$31,0)</f>
        <v>0</v>
      </c>
      <c r="K27" s="200">
        <f>+IF(PlanoFinanceiro!L29&gt;0,PlanoFinanceiro!L29*Pressupostos!$B$31,0)</f>
        <v>0</v>
      </c>
      <c r="L27" s="200">
        <f>+IF(PlanoFinanceiro!M29&gt;0,PlanoFinanceiro!M29*Pressupostos!$B$31,0)</f>
        <v>0</v>
      </c>
    </row>
    <row r="28" spans="1:12" ht="11.25">
      <c r="A28" s="128" t="s">
        <v>318</v>
      </c>
      <c r="B28" s="200">
        <f>Financiamento!C103+IF(PlanoFinanceiro!C29&lt;0,-PlanoFinanceiro!C29*Pressupostos!$B$32,0)</f>
        <v>8032</v>
      </c>
      <c r="C28" s="200">
        <f>Financiamento!D103+IF(PlanoFinanceiro!D29&lt;0,-PlanoFinanceiro!D29*Pressupostos!$B$32,0)</f>
        <v>11546</v>
      </c>
      <c r="D28" s="200">
        <f>Financiamento!E103+IF(PlanoFinanceiro!E29&lt;0,-PlanoFinanceiro!E29*Pressupostos!$B$32,0)</f>
        <v>11546</v>
      </c>
      <c r="E28" s="200">
        <f>Financiamento!F103+IF(PlanoFinanceiro!F29&lt;0,-PlanoFinanceiro!F29*Pressupostos!$B$32,0)</f>
        <v>9939.6</v>
      </c>
      <c r="F28" s="200">
        <f>Financiamento!G103+IF(PlanoFinanceiro!G29&lt;0,-PlanoFinanceiro!G29*Pressupostos!$B$32,0)</f>
        <v>7630.4</v>
      </c>
      <c r="G28" s="200">
        <f>Financiamento!H103+IF(PlanoFinanceiro!H29&lt;0,-PlanoFinanceiro!H29*Pressupostos!$B$32,0)</f>
        <v>5321.2</v>
      </c>
      <c r="H28" s="200">
        <f>Financiamento!I103+IF(PlanoFinanceiro!I29&lt;0,-PlanoFinanceiro!I29*Pressupostos!$B$32,0)</f>
        <v>3012</v>
      </c>
      <c r="I28" s="200">
        <f>Financiamento!J103+IF(PlanoFinanceiro!J29&lt;0,-PlanoFinanceiro!J29*Pressupostos!$B$32,0)</f>
        <v>702.80000000000007</v>
      </c>
      <c r="J28" s="200">
        <f>Financiamento!K103+IF(PlanoFinanceiro!K29&lt;0,-PlanoFinanceiro!K29*Pressupostos!$B$32,0)</f>
        <v>0</v>
      </c>
      <c r="K28" s="200">
        <f>Financiamento!L103+IF(PlanoFinanceiro!L29&lt;0,-PlanoFinanceiro!L29*Pressupostos!$B$32,0)</f>
        <v>0</v>
      </c>
      <c r="L28" s="200">
        <f>Financiamento!M103+IF(PlanoFinanceiro!M29&lt;0,-PlanoFinanceiro!M29*Pressupostos!$B$32,0)</f>
        <v>0</v>
      </c>
    </row>
    <row r="29" spans="1:12" ht="12" thickBot="1">
      <c r="A29" s="201" t="s">
        <v>319</v>
      </c>
      <c r="B29" s="36">
        <f>+B26+B27-B28</f>
        <v>-63729.750938140707</v>
      </c>
      <c r="C29" s="36">
        <f>+C26+C27-C28</f>
        <v>-56616.439342206468</v>
      </c>
      <c r="D29" s="36">
        <f t="shared" ref="D29:L29" si="2">+D26+D27-D28</f>
        <v>-34886.137878715374</v>
      </c>
      <c r="E29" s="36">
        <f t="shared" si="2"/>
        <v>-30060.956380115618</v>
      </c>
      <c r="F29" s="36">
        <f t="shared" si="2"/>
        <v>10620.541509190685</v>
      </c>
      <c r="G29" s="36">
        <f t="shared" si="2"/>
        <v>57445.799728976504</v>
      </c>
      <c r="H29" s="36">
        <f t="shared" si="2"/>
        <v>73285.986776142672</v>
      </c>
      <c r="I29" s="36">
        <f t="shared" si="2"/>
        <v>120951.25164977305</v>
      </c>
      <c r="J29" s="36">
        <f t="shared" si="2"/>
        <v>133810.08162817458</v>
      </c>
      <c r="K29" s="36">
        <f t="shared" si="2"/>
        <v>150869.21350168635</v>
      </c>
      <c r="L29" s="36">
        <f t="shared" si="2"/>
        <v>165956.99375744857</v>
      </c>
    </row>
    <row r="30" spans="1:12" ht="12" thickTop="1">
      <c r="A30" s="128" t="s">
        <v>320</v>
      </c>
      <c r="B30" s="200">
        <f>IF(B29&gt;0,B29*Pressupostos!$B$29,0)</f>
        <v>0</v>
      </c>
      <c r="C30" s="200">
        <f>IF(C29+C32&lt;0,0,(C29+C32)*Pressupostos!$B$29)</f>
        <v>0</v>
      </c>
      <c r="D30" s="200">
        <f>IF(D29+D32&lt;0,0,(D29+D32)*Pressupostos!$B$29)</f>
        <v>0</v>
      </c>
      <c r="E30" s="200">
        <f>IF(E29+E32&lt;0,0,(E29+E32)*Pressupostos!$B$29)</f>
        <v>0</v>
      </c>
      <c r="F30" s="200">
        <f>IF(F29+F32&lt;0,0,(F29+F32)*Pressupostos!$B$29)</f>
        <v>2655.1353772976713</v>
      </c>
      <c r="G30" s="200">
        <f>IF(G29+G32&lt;0,0,(G29+G32)*Pressupostos!$B$29)</f>
        <v>14361.449932244126</v>
      </c>
      <c r="H30" s="200">
        <f>IF(H29+H32&lt;0,0,(H29+H32)*Pressupostos!$B$29)</f>
        <v>18321.496694035668</v>
      </c>
      <c r="I30" s="200">
        <f>IF(I29+I32&lt;0,0,(I29+I32)*Pressupostos!$B$29)</f>
        <v>30237.812912443263</v>
      </c>
      <c r="J30" s="200">
        <f>IF(J29+J32&lt;0,0,(J29+J32)*Pressupostos!$B$29)</f>
        <v>0</v>
      </c>
      <c r="K30" s="200">
        <f>IF(K29+K32&lt;0,0,(K29+K32)*Pressupostos!$B$29)</f>
        <v>32361.741742699596</v>
      </c>
      <c r="L30" s="200">
        <f>IF(L29+L32&lt;0,0,(L29+L32)*Pressupostos!$B$29)</f>
        <v>41489.248439362142</v>
      </c>
    </row>
    <row r="31" spans="1:12" ht="12" thickBot="1">
      <c r="A31" s="201" t="s">
        <v>321</v>
      </c>
      <c r="B31" s="36">
        <f>+B29-B30</f>
        <v>-63729.750938140707</v>
      </c>
      <c r="C31" s="36">
        <f>+C29-C30</f>
        <v>-56616.439342206468</v>
      </c>
      <c r="D31" s="36">
        <f t="shared" ref="D31:L31" si="3">+D29-D30</f>
        <v>-34886.137878715374</v>
      </c>
      <c r="E31" s="36">
        <f t="shared" si="3"/>
        <v>-30060.956380115618</v>
      </c>
      <c r="F31" s="36">
        <f t="shared" si="3"/>
        <v>7965.4061318930144</v>
      </c>
      <c r="G31" s="36">
        <f t="shared" si="3"/>
        <v>43084.349796732378</v>
      </c>
      <c r="H31" s="36">
        <f t="shared" si="3"/>
        <v>54964.490082107004</v>
      </c>
      <c r="I31" s="36">
        <f t="shared" si="3"/>
        <v>90713.438737329794</v>
      </c>
      <c r="J31" s="36">
        <f t="shared" si="3"/>
        <v>133810.08162817458</v>
      </c>
      <c r="K31" s="36">
        <f t="shared" si="3"/>
        <v>118507.47175898675</v>
      </c>
      <c r="L31" s="36">
        <f t="shared" si="3"/>
        <v>124467.74531808642</v>
      </c>
    </row>
    <row r="32" spans="1:12" ht="12" thickTop="1">
      <c r="A32" s="131"/>
      <c r="B32" s="202"/>
      <c r="C32" s="202">
        <f>IF(B31&lt;0,B31,0)</f>
        <v>-63729.750938140707</v>
      </c>
      <c r="D32" s="202">
        <f>IF(C31+C32&lt;0,C31+C32,0)</f>
        <v>-120346.19028034717</v>
      </c>
      <c r="E32" s="202"/>
      <c r="F32" s="202"/>
      <c r="G32" s="202"/>
      <c r="H32" s="202"/>
      <c r="I32" s="202"/>
      <c r="J32" s="202">
        <f>IF(D31+D32&lt;0,D31+D32,0)</f>
        <v>-155232.32815906254</v>
      </c>
      <c r="K32" s="202">
        <f>IF(J31+J32&lt;0,J31+J32,0)</f>
        <v>-21422.246530887962</v>
      </c>
      <c r="L32" s="202">
        <f>IF(K31+K32&lt;0,K31+K32,0)</f>
        <v>0</v>
      </c>
    </row>
  </sheetData>
  <sheetProtection password="8318" sheet="1"/>
  <mergeCells count="1">
    <mergeCell ref="A4:L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lha4"/>
  <dimension ref="A1:N39"/>
  <sheetViews>
    <sheetView showGridLines="0" showZeros="0" workbookViewId="0">
      <selection activeCell="D3" sqref="D3"/>
    </sheetView>
  </sheetViews>
  <sheetFormatPr defaultColWidth="8.85546875" defaultRowHeight="11.1"/>
  <cols>
    <col min="1" max="1" width="25.140625" style="205" bestFit="1" customWidth="1"/>
    <col min="2" max="2" width="5" style="205" customWidth="1"/>
    <col min="3" max="13" width="8.85546875" style="205" customWidth="1"/>
    <col min="14" max="18" width="11.42578125" style="205" customWidth="1"/>
    <col min="19" max="16384" width="8.85546875" style="205"/>
  </cols>
  <sheetData>
    <row r="1" spans="1:13" ht="12.75">
      <c r="A1" s="203"/>
      <c r="B1" s="203"/>
      <c r="C1" s="136"/>
      <c r="D1" s="136"/>
      <c r="E1" s="136"/>
      <c r="F1" s="136"/>
      <c r="G1" s="136"/>
      <c r="H1" s="136"/>
      <c r="I1" s="136"/>
      <c r="J1" s="136"/>
      <c r="K1" s="136"/>
      <c r="L1" s="137" t="s">
        <v>30</v>
      </c>
      <c r="M1" s="204" t="str">
        <f>+Pressupostos!E1</f>
        <v>DUQUESA</v>
      </c>
    </row>
    <row r="2" spans="1:13" ht="11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2" t="str">
        <f>+Pressupostos!B9</f>
        <v>Euros</v>
      </c>
    </row>
    <row r="3" spans="1:13" ht="11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2"/>
    </row>
    <row r="4" spans="1:13" ht="13.5" customHeight="1">
      <c r="A4" s="526" t="s">
        <v>322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</row>
    <row r="5" spans="1:13" ht="12.75" customHeight="1">
      <c r="A5" s="54"/>
      <c r="B5" s="139"/>
      <c r="C5" s="139"/>
      <c r="D5" s="54"/>
      <c r="E5" s="54"/>
      <c r="F5" s="54"/>
      <c r="G5" s="54"/>
      <c r="H5" s="54"/>
      <c r="I5" s="54"/>
      <c r="J5" s="54"/>
      <c r="K5" s="54"/>
      <c r="L5" s="54"/>
      <c r="M5" s="54"/>
    </row>
    <row r="6" spans="1:13" ht="11.25">
      <c r="A6" s="54"/>
      <c r="B6" s="127"/>
      <c r="C6" s="139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13" ht="11.25">
      <c r="A7" s="128"/>
      <c r="B7" s="121"/>
      <c r="C7" s="493">
        <f>+VN!C8</f>
        <v>2020</v>
      </c>
      <c r="D7" s="493">
        <f>+VN!D8</f>
        <v>2021</v>
      </c>
      <c r="E7" s="493">
        <f>+VN!E8</f>
        <v>2022</v>
      </c>
      <c r="F7" s="493">
        <f>+VN!F8</f>
        <v>2023</v>
      </c>
      <c r="G7" s="493">
        <f>+VN!G8</f>
        <v>2024</v>
      </c>
      <c r="H7" s="493">
        <f>+VN!H8</f>
        <v>2025</v>
      </c>
      <c r="I7" s="493">
        <f>+VN!I8</f>
        <v>2026</v>
      </c>
      <c r="J7" s="493">
        <f>+VN!J8</f>
        <v>2027</v>
      </c>
      <c r="K7" s="493">
        <f>+VN!K8</f>
        <v>2028</v>
      </c>
      <c r="L7" s="493">
        <f>+VN!L8</f>
        <v>2029</v>
      </c>
      <c r="M7" s="493">
        <f>+VN!M8</f>
        <v>2030</v>
      </c>
    </row>
    <row r="8" spans="1:13" ht="11.25">
      <c r="A8" s="64" t="s">
        <v>323</v>
      </c>
      <c r="B8" s="121"/>
      <c r="C8" s="493"/>
      <c r="D8" s="493"/>
      <c r="E8" s="493"/>
      <c r="F8" s="493"/>
      <c r="G8" s="493"/>
      <c r="H8" s="493"/>
      <c r="I8" s="493"/>
      <c r="J8" s="493"/>
      <c r="K8" s="493"/>
      <c r="L8" s="493"/>
      <c r="M8" s="493"/>
    </row>
    <row r="9" spans="1:13" ht="11.25">
      <c r="A9" s="206" t="s">
        <v>324</v>
      </c>
      <c r="B9" s="207"/>
      <c r="C9" s="104">
        <f>+DR!B26*(1-Pressupostos!$B$29)</f>
        <v>-41773.313203605532</v>
      </c>
      <c r="D9" s="104">
        <f>+DR!C26*(1-Pressupostos!$B$29)</f>
        <v>-33802.829506654853</v>
      </c>
      <c r="E9" s="104">
        <f>+DR!D26*(1-Pressupostos!$B$29)</f>
        <v>-17505.103409036528</v>
      </c>
      <c r="F9" s="104">
        <f>+DR!E26*(1-Pressupostos!$B$29)</f>
        <v>-15091.017285086715</v>
      </c>
      <c r="G9" s="104">
        <f>+DR!F26*(1-Pressupostos!$B$29)</f>
        <v>13688.206131893014</v>
      </c>
      <c r="H9" s="104">
        <f>+DR!G26*(1-Pressupostos!$B$29)</f>
        <v>47075.249796732372</v>
      </c>
      <c r="I9" s="104">
        <f>+DR!H26*(1-Pressupostos!$B$29)</f>
        <v>57223.490082107004</v>
      </c>
      <c r="J9" s="104">
        <f>+DR!I26*(1-Pressupostos!$B$29)</f>
        <v>91240.5387373298</v>
      </c>
      <c r="K9" s="104">
        <f>+DR!J26*(1-Pressupostos!$B$29)</f>
        <v>100357.56122113093</v>
      </c>
      <c r="L9" s="104">
        <f>+DR!K26*(1-Pressupostos!$B$29)</f>
        <v>113151.91012626476</v>
      </c>
      <c r="M9" s="104">
        <f>+DR!L26*(1-Pressupostos!$B$29)</f>
        <v>124467.74531808642</v>
      </c>
    </row>
    <row r="10" spans="1:13" ht="11.25">
      <c r="A10" s="55" t="s">
        <v>261</v>
      </c>
      <c r="B10" s="207"/>
      <c r="C10" s="104">
        <f>+DR!B24</f>
        <v>6469.9056666666675</v>
      </c>
      <c r="D10" s="104">
        <f>+DR!C24</f>
        <v>6745.9056666666675</v>
      </c>
      <c r="E10" s="104">
        <f>+DR!D24</f>
        <v>7021.9056666666675</v>
      </c>
      <c r="F10" s="104">
        <f>+DR!E24</f>
        <v>8977.241</v>
      </c>
      <c r="G10" s="104">
        <f>+DR!F24</f>
        <v>8496.7060000000001</v>
      </c>
      <c r="H10" s="104">
        <f>+DR!G24</f>
        <v>302.52999999999997</v>
      </c>
      <c r="I10" s="104">
        <f>+DR!H24</f>
        <v>311.38</v>
      </c>
      <c r="J10" s="104">
        <f>+DR!I24</f>
        <v>329.07</v>
      </c>
      <c r="K10" s="104">
        <f>+DR!J24</f>
        <v>382.13333333333333</v>
      </c>
      <c r="L10" s="104">
        <f>+DR!K24</f>
        <v>399.82666666666665</v>
      </c>
      <c r="M10" s="104">
        <f>+DR!L24</f>
        <v>399.82666666666665</v>
      </c>
    </row>
    <row r="11" spans="1:13" ht="11.25">
      <c r="A11" s="55" t="s">
        <v>325</v>
      </c>
      <c r="B11" s="207"/>
      <c r="C11" s="104">
        <f>+DR!B25</f>
        <v>0</v>
      </c>
      <c r="D11" s="104">
        <f>+DR!C25</f>
        <v>0</v>
      </c>
      <c r="E11" s="104">
        <f>+DR!D25</f>
        <v>0</v>
      </c>
      <c r="F11" s="104">
        <f>+DR!E25</f>
        <v>0</v>
      </c>
      <c r="G11" s="104">
        <f>+DR!F25</f>
        <v>0</v>
      </c>
      <c r="H11" s="104">
        <f>+DR!G25</f>
        <v>0</v>
      </c>
      <c r="I11" s="104">
        <f>+DR!H25</f>
        <v>0</v>
      </c>
      <c r="J11" s="104">
        <f>+DR!I25</f>
        <v>0</v>
      </c>
      <c r="K11" s="104">
        <f>+DR!J25</f>
        <v>0</v>
      </c>
      <c r="L11" s="104">
        <f>+DR!K25</f>
        <v>0</v>
      </c>
      <c r="M11" s="104">
        <f>+DR!L25</f>
        <v>0</v>
      </c>
    </row>
    <row r="12" spans="1:13" ht="12" thickBot="1">
      <c r="A12" s="55"/>
      <c r="B12" s="117"/>
      <c r="C12" s="147">
        <f>SUM(C9:C11)</f>
        <v>-35303.407536938867</v>
      </c>
      <c r="D12" s="147">
        <f>SUM(D9:D11)</f>
        <v>-27056.923839988187</v>
      </c>
      <c r="E12" s="147">
        <f t="shared" ref="E12:M12" si="0">SUM(E9:E11)</f>
        <v>-10483.197742369861</v>
      </c>
      <c r="F12" s="147">
        <f t="shared" si="0"/>
        <v>-6113.7762850867148</v>
      </c>
      <c r="G12" s="147">
        <f t="shared" si="0"/>
        <v>22184.912131893012</v>
      </c>
      <c r="H12" s="147">
        <f t="shared" si="0"/>
        <v>47377.779796732371</v>
      </c>
      <c r="I12" s="147">
        <f t="shared" si="0"/>
        <v>57534.870082107002</v>
      </c>
      <c r="J12" s="147">
        <f t="shared" si="0"/>
        <v>91569.608737329807</v>
      </c>
      <c r="K12" s="147">
        <f t="shared" si="0"/>
        <v>100739.69455446427</v>
      </c>
      <c r="L12" s="147">
        <f t="shared" si="0"/>
        <v>113551.73679293142</v>
      </c>
      <c r="M12" s="147">
        <f t="shared" si="0"/>
        <v>124867.57198475309</v>
      </c>
    </row>
    <row r="13" spans="1:13" ht="12" thickTop="1">
      <c r="A13" s="64" t="s">
        <v>326</v>
      </c>
      <c r="B13" s="208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</row>
    <row r="14" spans="1:13" ht="11.25">
      <c r="A14" s="206" t="s">
        <v>327</v>
      </c>
      <c r="B14" s="210"/>
      <c r="C14" s="104">
        <f>-FundoManeio!C24</f>
        <v>-1811.541437428421</v>
      </c>
      <c r="D14" s="104">
        <f>-FundoManeio!D24</f>
        <v>1033.3586682135556</v>
      </c>
      <c r="E14" s="104">
        <f>-FundoManeio!E24</f>
        <v>-1421.1654233596382</v>
      </c>
      <c r="F14" s="104">
        <f>-FundoManeio!F24</f>
        <v>-1760.6231163970369</v>
      </c>
      <c r="G14" s="104">
        <f>-FundoManeio!G24</f>
        <v>-2452.3934072753182</v>
      </c>
      <c r="H14" s="104">
        <f>-FundoManeio!H24</f>
        <v>-1834.0806789833659</v>
      </c>
      <c r="I14" s="104">
        <f>-FundoManeio!I24</f>
        <v>-1788.4059440538003</v>
      </c>
      <c r="J14" s="104">
        <f>-FundoManeio!J24</f>
        <v>-2775.4840804290907</v>
      </c>
      <c r="K14" s="104">
        <f>-FundoManeio!K24</f>
        <v>-1278.9742703546181</v>
      </c>
      <c r="L14" s="104">
        <f>-FundoManeio!L24</f>
        <v>-1061.5900147049688</v>
      </c>
      <c r="M14" s="104">
        <f>-FundoManeio!M24</f>
        <v>-947.77321782225044</v>
      </c>
    </row>
    <row r="15" spans="1:13" ht="10.5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</row>
    <row r="16" spans="1:13" ht="12" thickBot="1">
      <c r="A16" s="151" t="s">
        <v>328</v>
      </c>
      <c r="B16" s="212"/>
      <c r="C16" s="147">
        <f>+SUM(C12:C14)</f>
        <v>-37114.948974367289</v>
      </c>
      <c r="D16" s="147">
        <f>+SUM(D12:D14)</f>
        <v>-26023.56517177463</v>
      </c>
      <c r="E16" s="147">
        <f t="shared" ref="E16:M16" si="1">+SUM(E12:E14)</f>
        <v>-11904.363165729499</v>
      </c>
      <c r="F16" s="147">
        <f t="shared" si="1"/>
        <v>-7874.3994014837517</v>
      </c>
      <c r="G16" s="147">
        <f t="shared" si="1"/>
        <v>19732.518724617694</v>
      </c>
      <c r="H16" s="147">
        <f t="shared" si="1"/>
        <v>45543.699117749005</v>
      </c>
      <c r="I16" s="147">
        <f t="shared" si="1"/>
        <v>55746.464138053198</v>
      </c>
      <c r="J16" s="147">
        <f t="shared" si="1"/>
        <v>88794.12465690072</v>
      </c>
      <c r="K16" s="147">
        <f t="shared" si="1"/>
        <v>99460.720284109644</v>
      </c>
      <c r="L16" s="147">
        <f t="shared" si="1"/>
        <v>112490.14677822645</v>
      </c>
      <c r="M16" s="147">
        <f t="shared" si="1"/>
        <v>123919.79876693083</v>
      </c>
    </row>
    <row r="17" spans="1:14" ht="12" thickTop="1">
      <c r="A17" s="213"/>
      <c r="B17" s="214"/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</row>
    <row r="18" spans="1:14" ht="11.25">
      <c r="A18" s="64" t="s">
        <v>329</v>
      </c>
      <c r="B18" s="208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</row>
    <row r="19" spans="1:14" ht="11.25">
      <c r="A19" s="55" t="s">
        <v>330</v>
      </c>
      <c r="B19" s="207"/>
      <c r="C19" s="104">
        <f>-Investimento!C29</f>
        <v>-31503.97</v>
      </c>
      <c r="D19" s="104">
        <f>-Investimento!D29</f>
        <v>-828</v>
      </c>
      <c r="E19" s="104">
        <f>-Investimento!E29</f>
        <v>-828</v>
      </c>
      <c r="F19" s="104">
        <f>-Investimento!F29</f>
        <v>-12163.01</v>
      </c>
      <c r="G19" s="104">
        <f>-Investimento!G29</f>
        <v>-12216.08</v>
      </c>
      <c r="H19" s="104">
        <f>-Investimento!H29</f>
        <v>-907.59</v>
      </c>
      <c r="I19" s="104">
        <f>-Investimento!I29</f>
        <v>-934.14</v>
      </c>
      <c r="J19" s="104">
        <f>-Investimento!J29</f>
        <v>-987.21</v>
      </c>
      <c r="K19" s="104">
        <f>-Investimento!K29</f>
        <v>-1146.4000000000001</v>
      </c>
      <c r="L19" s="104">
        <f>-Investimento!L29</f>
        <v>-1199.48</v>
      </c>
      <c r="M19" s="104">
        <f>-Investimento!M29</f>
        <v>-1199.48</v>
      </c>
    </row>
    <row r="20" spans="1:14" ht="11.25">
      <c r="A20" s="139"/>
      <c r="B20" s="214"/>
      <c r="C20" s="215"/>
      <c r="D20" s="215"/>
      <c r="E20" s="215"/>
      <c r="F20" s="215"/>
      <c r="G20" s="215"/>
      <c r="H20" s="215"/>
      <c r="I20" s="215"/>
      <c r="J20" s="215"/>
      <c r="K20" s="215"/>
      <c r="L20" s="215"/>
      <c r="M20" s="215"/>
    </row>
    <row r="21" spans="1:14" ht="12" thickBot="1">
      <c r="A21" s="151" t="s">
        <v>331</v>
      </c>
      <c r="B21" s="212"/>
      <c r="C21" s="147">
        <f>+C12+C14+C19</f>
        <v>-68618.918974367291</v>
      </c>
      <c r="D21" s="147">
        <f>+D12+D14+D19</f>
        <v>-26851.56517177463</v>
      </c>
      <c r="E21" s="147">
        <f t="shared" ref="E21:M21" si="2">+E12+E14+E19</f>
        <v>-12732.363165729499</v>
      </c>
      <c r="F21" s="147">
        <f t="shared" si="2"/>
        <v>-20037.409401483754</v>
      </c>
      <c r="G21" s="147">
        <f t="shared" si="2"/>
        <v>7516.4387246176939</v>
      </c>
      <c r="H21" s="147">
        <f t="shared" si="2"/>
        <v>44636.109117749009</v>
      </c>
      <c r="I21" s="147">
        <f t="shared" si="2"/>
        <v>54812.324138053198</v>
      </c>
      <c r="J21" s="147">
        <f t="shared" si="2"/>
        <v>87806.914656900713</v>
      </c>
      <c r="K21" s="147">
        <f t="shared" si="2"/>
        <v>98314.32028410965</v>
      </c>
      <c r="L21" s="147">
        <f t="shared" si="2"/>
        <v>111290.66677822646</v>
      </c>
      <c r="M21" s="147">
        <f t="shared" si="2"/>
        <v>122720.31876693084</v>
      </c>
    </row>
    <row r="22" spans="1:14" ht="12" thickTop="1">
      <c r="A22" s="213"/>
      <c r="B22" s="214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</row>
    <row r="23" spans="1:14" ht="12" thickBot="1">
      <c r="A23" s="151" t="s">
        <v>332</v>
      </c>
      <c r="B23" s="212"/>
      <c r="C23" s="147">
        <f>+SUM(C21)</f>
        <v>-68618.918974367291</v>
      </c>
      <c r="D23" s="147">
        <f>+SUM($C$21:D21)</f>
        <v>-95470.484146141913</v>
      </c>
      <c r="E23" s="147">
        <f>+SUM($C$21:E21)</f>
        <v>-108202.84731187142</v>
      </c>
      <c r="F23" s="147">
        <f>+SUM($C$21:F21)</f>
        <v>-128240.25671335516</v>
      </c>
      <c r="G23" s="147">
        <f>+SUM($C$21:G21)</f>
        <v>-120723.81798873747</v>
      </c>
      <c r="H23" s="147">
        <f>+SUM($C$21:H21)</f>
        <v>-76087.708870988456</v>
      </c>
      <c r="I23" s="147">
        <f>+SUM($C$21:I21)</f>
        <v>-21275.384732935257</v>
      </c>
      <c r="J23" s="147">
        <f>+SUM($C$21:J21)</f>
        <v>66531.529923965456</v>
      </c>
      <c r="K23" s="147">
        <f>+SUM($C$21:K21)</f>
        <v>164845.85020807511</v>
      </c>
      <c r="L23" s="147">
        <f>+SUM($C$21:L21)</f>
        <v>276136.51698630158</v>
      </c>
      <c r="M23" s="147">
        <f>+SUM($C$21:M21)</f>
        <v>398856.83575323242</v>
      </c>
    </row>
    <row r="24" spans="1:14" ht="12" thickTop="1">
      <c r="A24" s="70"/>
      <c r="B24" s="216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</row>
    <row r="25" spans="1:14" ht="11.25">
      <c r="A25" s="218"/>
      <c r="B25" s="219"/>
      <c r="C25" s="220"/>
      <c r="D25" s="220"/>
      <c r="E25" s="220"/>
      <c r="F25" s="220"/>
      <c r="G25" s="220"/>
      <c r="H25" s="220"/>
      <c r="I25" s="220"/>
      <c r="J25" s="220"/>
      <c r="K25" s="220"/>
      <c r="L25" s="220"/>
      <c r="M25" s="220"/>
      <c r="N25" s="221"/>
    </row>
    <row r="26" spans="1:14" ht="11.25">
      <c r="A26" s="222"/>
      <c r="B26" s="219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</row>
    <row r="27" spans="1:14" ht="11.25">
      <c r="A27" s="222"/>
      <c r="B27" s="219"/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</row>
    <row r="28" spans="1:14" ht="11.25">
      <c r="A28" s="222"/>
      <c r="B28" s="219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</row>
    <row r="29" spans="1:14" ht="11.25">
      <c r="A29" s="222"/>
      <c r="B29" s="219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</row>
    <row r="30" spans="1:14" ht="11.25">
      <c r="A30" s="222"/>
      <c r="B30" s="219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</row>
    <row r="31" spans="1:14" ht="11.25">
      <c r="A31" s="222"/>
      <c r="B31" s="219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</row>
    <row r="32" spans="1:14" ht="11.25">
      <c r="A32" s="222"/>
      <c r="B32" s="219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</row>
    <row r="33" spans="1:13" ht="11.25">
      <c r="A33" s="222"/>
      <c r="B33" s="219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</row>
    <row r="34" spans="1:13" ht="11.25">
      <c r="A34" s="222"/>
      <c r="B34" s="219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</row>
    <row r="35" spans="1:13" ht="11.25">
      <c r="A35" s="222"/>
      <c r="B35" s="219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</row>
    <row r="36" spans="1:13" ht="11.25">
      <c r="A36" s="218"/>
      <c r="B36" s="219"/>
      <c r="C36" s="220"/>
      <c r="D36" s="220"/>
      <c r="E36" s="220"/>
      <c r="F36" s="220"/>
      <c r="G36" s="220"/>
      <c r="H36" s="220"/>
      <c r="I36" s="220"/>
      <c r="J36" s="220"/>
      <c r="K36" s="220"/>
      <c r="L36" s="220"/>
      <c r="M36" s="220"/>
    </row>
    <row r="37" spans="1:13" ht="11.25">
      <c r="A37" s="223"/>
      <c r="B37" s="219"/>
      <c r="C37" s="224"/>
      <c r="D37" s="70"/>
      <c r="E37" s="70"/>
      <c r="F37" s="70"/>
      <c r="G37" s="70"/>
      <c r="H37" s="70"/>
      <c r="I37" s="70"/>
      <c r="J37" s="70"/>
      <c r="K37" s="70"/>
      <c r="L37" s="70"/>
      <c r="M37" s="70"/>
    </row>
    <row r="38" spans="1:13" ht="11.25">
      <c r="A38" s="63"/>
      <c r="B38" s="63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</row>
    <row r="39" spans="1:13" ht="10.5"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</row>
  </sheetData>
  <sheetProtection password="8318" sheet="1"/>
  <mergeCells count="1">
    <mergeCell ref="A4:M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lha5"/>
  <dimension ref="A1:M35"/>
  <sheetViews>
    <sheetView showGridLines="0" showZeros="0" topLeftCell="A3" zoomScale="143" zoomScaleNormal="100" workbookViewId="0">
      <selection activeCell="H24" sqref="H24"/>
    </sheetView>
  </sheetViews>
  <sheetFormatPr defaultColWidth="8.85546875" defaultRowHeight="11.1"/>
  <cols>
    <col min="1" max="1" width="30.5703125" style="63" customWidth="1"/>
    <col min="2" max="2" width="3.140625" style="63" customWidth="1"/>
    <col min="3" max="13" width="8.140625" style="63" customWidth="1"/>
    <col min="14" max="16384" width="8.85546875" style="63"/>
  </cols>
  <sheetData>
    <row r="1" spans="1:13" ht="12.75">
      <c r="A1" s="54"/>
      <c r="B1" s="54"/>
      <c r="C1" s="47"/>
      <c r="D1" s="47"/>
      <c r="E1" s="47"/>
      <c r="F1" s="47"/>
      <c r="G1" s="47"/>
      <c r="H1" s="47"/>
      <c r="I1" s="47"/>
      <c r="J1" s="47"/>
      <c r="K1" s="47"/>
      <c r="L1" s="48" t="s">
        <v>30</v>
      </c>
      <c r="M1" s="87" t="str">
        <f>+Pressupostos!E1</f>
        <v>DUQUESA</v>
      </c>
    </row>
    <row r="2" spans="1:13" ht="11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2" t="str">
        <f>+Pressupostos!B9</f>
        <v>Euros</v>
      </c>
    </row>
    <row r="3" spans="1:13" ht="11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2"/>
    </row>
    <row r="4" spans="1:13" ht="15.75">
      <c r="A4" s="526" t="s">
        <v>333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</row>
    <row r="5" spans="1:13" ht="11.2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</row>
    <row r="6" spans="1:13" ht="11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13" ht="11.25">
      <c r="A7" s="494"/>
      <c r="B7" s="496"/>
      <c r="C7" s="493">
        <f>+VN!C8</f>
        <v>2020</v>
      </c>
      <c r="D7" s="493">
        <f>+VN!D8</f>
        <v>2021</v>
      </c>
      <c r="E7" s="493">
        <f>+VN!E8</f>
        <v>2022</v>
      </c>
      <c r="F7" s="493">
        <f>+VN!F8</f>
        <v>2023</v>
      </c>
      <c r="G7" s="493">
        <f>+VN!G8</f>
        <v>2024</v>
      </c>
      <c r="H7" s="493">
        <f>+VN!H8</f>
        <v>2025</v>
      </c>
      <c r="I7" s="493">
        <f>+VN!I8</f>
        <v>2026</v>
      </c>
      <c r="J7" s="493">
        <f>+VN!J8</f>
        <v>2027</v>
      </c>
      <c r="K7" s="493">
        <f>+VN!K8</f>
        <v>2028</v>
      </c>
      <c r="L7" s="493">
        <f>+VN!L8</f>
        <v>2029</v>
      </c>
      <c r="M7" s="493">
        <f>+VN!M8</f>
        <v>2030</v>
      </c>
    </row>
    <row r="8" spans="1:13" ht="11.25">
      <c r="A8" s="570" t="s">
        <v>334</v>
      </c>
      <c r="B8" s="571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1:13" ht="11.25">
      <c r="A9" s="115" t="s">
        <v>335</v>
      </c>
      <c r="B9" s="91"/>
      <c r="C9" s="226">
        <f>+DR!B26+DR!B24+DR!B25+DR!B17</f>
        <v>-49227.845271474042</v>
      </c>
      <c r="D9" s="226">
        <f>+DR!C26+DR!C24+DR!C25+DR!C17</f>
        <v>-38324.533675539802</v>
      </c>
      <c r="E9" s="226">
        <f>+DR!D26+DR!D24+DR!D25+DR!D17</f>
        <v>-16318.232212048706</v>
      </c>
      <c r="F9" s="226">
        <f>+DR!E26+DR!E24+DR!E25+DR!E17</f>
        <v>-11144.11538011562</v>
      </c>
      <c r="G9" s="226">
        <f>+DR!F26+DR!F24+DR!F25+DR!F17</f>
        <v>26747.647509190683</v>
      </c>
      <c r="H9" s="226">
        <f>+DR!G26+DR!G24+DR!G25+DR!G17</f>
        <v>63069.5297289765</v>
      </c>
      <c r="I9" s="226">
        <f>+DR!H26+DR!H24+DR!H25+DR!H17</f>
        <v>76609.366776142677</v>
      </c>
      <c r="J9" s="226">
        <f>+DR!I26+DR!I24+DR!I25+DR!I17</f>
        <v>121983.12164977306</v>
      </c>
      <c r="K9" s="226">
        <f>+DR!J26+DR!J24+DR!J25+DR!J17</f>
        <v>134192.21496150791</v>
      </c>
      <c r="L9" s="226">
        <f>+DR!K26+DR!K24+DR!K25+DR!K17</f>
        <v>151269.04016835301</v>
      </c>
      <c r="M9" s="226">
        <f>+DR!L26+DR!L24+DR!L25+DR!L17</f>
        <v>166356.82042411523</v>
      </c>
    </row>
    <row r="10" spans="1:13" ht="11.25">
      <c r="A10" s="115" t="s">
        <v>336</v>
      </c>
      <c r="B10" s="91"/>
      <c r="C10" s="226">
        <f>+Financiamento!C15</f>
        <v>0</v>
      </c>
      <c r="D10" s="226">
        <f>+Financiamento!D15</f>
        <v>0</v>
      </c>
      <c r="E10" s="226">
        <f>+Financiamento!E15</f>
        <v>0</v>
      </c>
      <c r="F10" s="226">
        <f>+Financiamento!F15</f>
        <v>0</v>
      </c>
      <c r="G10" s="226">
        <f>+Financiamento!G15</f>
        <v>0</v>
      </c>
      <c r="H10" s="226">
        <f>+Financiamento!H15</f>
        <v>0</v>
      </c>
      <c r="I10" s="226">
        <f>+Financiamento!I15</f>
        <v>0</v>
      </c>
      <c r="J10" s="226">
        <f>+Financiamento!J15</f>
        <v>0</v>
      </c>
      <c r="K10" s="226">
        <f>+Financiamento!K15</f>
        <v>0</v>
      </c>
      <c r="L10" s="226">
        <f>+Financiamento!L15</f>
        <v>0</v>
      </c>
      <c r="M10" s="226">
        <f>+Financiamento!M15</f>
        <v>0</v>
      </c>
    </row>
    <row r="11" spans="1:13" ht="11.25">
      <c r="A11" s="115" t="s">
        <v>337</v>
      </c>
      <c r="B11" s="91"/>
      <c r="C11" s="226">
        <f>+Financiamento!C16+Financiamento!C17+Financiamento!C19</f>
        <v>0</v>
      </c>
      <c r="D11" s="226">
        <f>+Financiamento!D16+Financiamento!D17+Financiamento!D19</f>
        <v>0</v>
      </c>
      <c r="E11" s="226">
        <f>+Financiamento!E16+Financiamento!E17+Financiamento!E19</f>
        <v>0</v>
      </c>
      <c r="F11" s="226">
        <f>+Financiamento!F16+Financiamento!F17+Financiamento!F19</f>
        <v>0</v>
      </c>
      <c r="G11" s="226">
        <f>+Financiamento!G16+Financiamento!G17+Financiamento!G19</f>
        <v>0</v>
      </c>
      <c r="H11" s="226">
        <f>+Financiamento!H16+Financiamento!H17+Financiamento!H19</f>
        <v>0</v>
      </c>
      <c r="I11" s="226">
        <f>+Financiamento!I16+Financiamento!I17+Financiamento!I19</f>
        <v>0</v>
      </c>
      <c r="J11" s="226">
        <f>+Financiamento!J16+Financiamento!J17+Financiamento!J19</f>
        <v>0</v>
      </c>
      <c r="K11" s="226">
        <f>+Financiamento!K16+Financiamento!K17+Financiamento!K19</f>
        <v>0</v>
      </c>
      <c r="L11" s="226">
        <f>+Financiamento!L16+Financiamento!L17+Financiamento!L19</f>
        <v>0</v>
      </c>
      <c r="M11" s="226">
        <f>+Financiamento!M16+Financiamento!M17+Financiamento!M19</f>
        <v>0</v>
      </c>
    </row>
    <row r="12" spans="1:13" ht="11.25">
      <c r="A12" s="115" t="s">
        <v>338</v>
      </c>
      <c r="B12" s="91"/>
      <c r="C12" s="226">
        <f>+Financiamento!C18</f>
        <v>100000</v>
      </c>
      <c r="D12" s="226">
        <f>+Financiamento!D18</f>
        <v>50000</v>
      </c>
      <c r="E12" s="226">
        <f>+Financiamento!E18</f>
        <v>0</v>
      </c>
      <c r="F12" s="226">
        <f>+Financiamento!F18</f>
        <v>0</v>
      </c>
      <c r="G12" s="226">
        <f>+Financiamento!G18</f>
        <v>0</v>
      </c>
      <c r="H12" s="226">
        <f>+Financiamento!H18</f>
        <v>0</v>
      </c>
      <c r="I12" s="226">
        <f>+Financiamento!I18</f>
        <v>0</v>
      </c>
      <c r="J12" s="226">
        <f>+Financiamento!J18</f>
        <v>0</v>
      </c>
      <c r="K12" s="226">
        <f>+Financiamento!K18</f>
        <v>0</v>
      </c>
      <c r="L12" s="226">
        <f>+Financiamento!L18</f>
        <v>0</v>
      </c>
      <c r="M12" s="226">
        <f>+Financiamento!M18</f>
        <v>0</v>
      </c>
    </row>
    <row r="13" spans="1:13" ht="11.25">
      <c r="A13" s="115" t="s">
        <v>339</v>
      </c>
      <c r="B13" s="91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</row>
    <row r="14" spans="1:13" ht="11.25">
      <c r="A14" s="115" t="s">
        <v>340</v>
      </c>
      <c r="B14" s="91"/>
      <c r="C14" s="226">
        <f>+IF(FundoManeio!C24&lt;0,-FundoManeio!C24,0)</f>
        <v>0</v>
      </c>
      <c r="D14" s="226">
        <f>+IF(FundoManeio!D24&lt;0,-FundoManeio!D24,0)</f>
        <v>1033.3586682135556</v>
      </c>
      <c r="E14" s="226">
        <f>+IF(FundoManeio!E24&lt;0,-FundoManeio!E24,0)</f>
        <v>0</v>
      </c>
      <c r="F14" s="226">
        <f>+IF(FundoManeio!F24&lt;0,-FundoManeio!F24,0)</f>
        <v>0</v>
      </c>
      <c r="G14" s="226">
        <f>+IF(FundoManeio!G24&lt;0,-FundoManeio!G24,0)</f>
        <v>0</v>
      </c>
      <c r="H14" s="226">
        <f>+IF(FundoManeio!H24&lt;0,-FundoManeio!H24,0)</f>
        <v>0</v>
      </c>
      <c r="I14" s="226">
        <f>+IF(FundoManeio!I24&lt;0,-FundoManeio!I24,0)</f>
        <v>0</v>
      </c>
      <c r="J14" s="226">
        <f>+IF(FundoManeio!J24&lt;0,-FundoManeio!J24,0)</f>
        <v>0</v>
      </c>
      <c r="K14" s="226">
        <f>+IF(FundoManeio!K24&lt;0,-FundoManeio!K24,0)</f>
        <v>0</v>
      </c>
      <c r="L14" s="226">
        <f>+IF(FundoManeio!L24&lt;0,-FundoManeio!L24,0)</f>
        <v>0</v>
      </c>
      <c r="M14" s="226">
        <f>+IF(FundoManeio!M24&lt;0,-FundoManeio!M24,0)</f>
        <v>0</v>
      </c>
    </row>
    <row r="15" spans="1:13" ht="11.25">
      <c r="A15" s="115" t="s">
        <v>341</v>
      </c>
      <c r="B15" s="91"/>
      <c r="C15" s="226">
        <f>+DR!B27</f>
        <v>0</v>
      </c>
      <c r="D15" s="226">
        <f>+DR!C27</f>
        <v>0</v>
      </c>
      <c r="E15" s="226">
        <f>+DR!D27</f>
        <v>0</v>
      </c>
      <c r="F15" s="226">
        <f>+DR!E27</f>
        <v>0</v>
      </c>
      <c r="G15" s="226">
        <f>+DR!F27</f>
        <v>0</v>
      </c>
      <c r="H15" s="226">
        <f>+DR!G27</f>
        <v>0</v>
      </c>
      <c r="I15" s="226">
        <f>+DR!H27</f>
        <v>0</v>
      </c>
      <c r="J15" s="226">
        <f>+DR!I27</f>
        <v>0</v>
      </c>
      <c r="K15" s="226">
        <f>+DR!J27</f>
        <v>0</v>
      </c>
      <c r="L15" s="226">
        <f>+DR!K27</f>
        <v>0</v>
      </c>
      <c r="M15" s="226">
        <f>+DR!L27</f>
        <v>0</v>
      </c>
    </row>
    <row r="16" spans="1:13" ht="11.25">
      <c r="A16" s="574"/>
      <c r="B16" s="575"/>
      <c r="C16" s="438"/>
      <c r="D16" s="438"/>
      <c r="E16" s="438"/>
      <c r="F16" s="438"/>
      <c r="G16" s="438"/>
      <c r="H16" s="438"/>
      <c r="I16" s="438"/>
      <c r="J16" s="438"/>
      <c r="K16" s="438"/>
      <c r="L16" s="438"/>
      <c r="M16" s="438"/>
    </row>
    <row r="17" spans="1:13" ht="11.25">
      <c r="A17" s="572" t="s">
        <v>342</v>
      </c>
      <c r="B17" s="573"/>
      <c r="C17" s="227">
        <f>+SUM(C9:C16)</f>
        <v>50772.154728525958</v>
      </c>
      <c r="D17" s="227">
        <f>+SUM(D9:D16)</f>
        <v>12708.824992673754</v>
      </c>
      <c r="E17" s="227">
        <f>+SUM(E9:E16)</f>
        <v>-16318.232212048706</v>
      </c>
      <c r="F17" s="227">
        <f t="shared" ref="F17:M17" si="0">+SUM(F9:F16)</f>
        <v>-11144.11538011562</v>
      </c>
      <c r="G17" s="227">
        <f t="shared" si="0"/>
        <v>26747.647509190683</v>
      </c>
      <c r="H17" s="227">
        <f t="shared" si="0"/>
        <v>63069.5297289765</v>
      </c>
      <c r="I17" s="227">
        <f t="shared" si="0"/>
        <v>76609.366776142677</v>
      </c>
      <c r="J17" s="227">
        <f t="shared" si="0"/>
        <v>121983.12164977306</v>
      </c>
      <c r="K17" s="227">
        <f t="shared" si="0"/>
        <v>134192.21496150791</v>
      </c>
      <c r="L17" s="227">
        <f t="shared" si="0"/>
        <v>151269.04016835301</v>
      </c>
      <c r="M17" s="227">
        <f t="shared" si="0"/>
        <v>166356.82042411523</v>
      </c>
    </row>
    <row r="18" spans="1:13" ht="14.25" customHeight="1">
      <c r="A18" s="570" t="s">
        <v>343</v>
      </c>
      <c r="B18" s="571"/>
      <c r="C18" s="228"/>
      <c r="D18" s="228"/>
      <c r="E18" s="228"/>
      <c r="F18" s="228"/>
      <c r="G18" s="228"/>
      <c r="H18" s="228"/>
      <c r="I18" s="228"/>
      <c r="J18" s="228"/>
      <c r="K18" s="228"/>
      <c r="L18" s="228"/>
      <c r="M18" s="228"/>
    </row>
    <row r="19" spans="1:13" ht="11.25">
      <c r="A19" s="115" t="s">
        <v>344</v>
      </c>
      <c r="B19" s="496"/>
      <c r="C19" s="226">
        <f>+Investimento!C29</f>
        <v>31503.97</v>
      </c>
      <c r="D19" s="226">
        <f>+Investimento!D29</f>
        <v>828</v>
      </c>
      <c r="E19" s="226">
        <f>+Investimento!E29</f>
        <v>828</v>
      </c>
      <c r="F19" s="226">
        <f>+Investimento!F29</f>
        <v>12163.01</v>
      </c>
      <c r="G19" s="226">
        <f>+Investimento!G29</f>
        <v>12216.08</v>
      </c>
      <c r="H19" s="226">
        <f>+Investimento!H29</f>
        <v>907.59</v>
      </c>
      <c r="I19" s="226">
        <f>+Investimento!I29</f>
        <v>934.14</v>
      </c>
      <c r="J19" s="226">
        <f>+Investimento!J29</f>
        <v>987.21</v>
      </c>
      <c r="K19" s="226">
        <f>+Investimento!K29</f>
        <v>1146.4000000000001</v>
      </c>
      <c r="L19" s="226">
        <f>+Investimento!L29</f>
        <v>1199.48</v>
      </c>
      <c r="M19" s="226">
        <f>+Investimento!M29</f>
        <v>1199.48</v>
      </c>
    </row>
    <row r="20" spans="1:13" ht="11.25">
      <c r="A20" s="115" t="s">
        <v>345</v>
      </c>
      <c r="B20" s="496"/>
      <c r="C20" s="226">
        <f>+IF(FundoManeio!C24&gt;0,FundoManeio!C24,0)</f>
        <v>1811.541437428421</v>
      </c>
      <c r="D20" s="226">
        <f>+IF(FundoManeio!D24&gt;0,FundoManeio!D24,0)</f>
        <v>0</v>
      </c>
      <c r="E20" s="226">
        <f>+IF(FundoManeio!E24&gt;0,FundoManeio!E24,0)</f>
        <v>1421.1654233596382</v>
      </c>
      <c r="F20" s="226">
        <f>+IF(FundoManeio!F24&gt;0,FundoManeio!F24,0)</f>
        <v>1760.6231163970369</v>
      </c>
      <c r="G20" s="226">
        <f>+IF(FundoManeio!G24&gt;0,FundoManeio!G24,0)</f>
        <v>2452.3934072753182</v>
      </c>
      <c r="H20" s="226">
        <f>+IF(FundoManeio!H24&gt;0,FundoManeio!H24,0)</f>
        <v>1834.0806789833659</v>
      </c>
      <c r="I20" s="226">
        <f>+IF(FundoManeio!I24&gt;0,FundoManeio!I24,0)</f>
        <v>1788.4059440538003</v>
      </c>
      <c r="J20" s="226">
        <f>+IF(FundoManeio!J24&gt;0,FundoManeio!J24,0)</f>
        <v>2775.4840804290907</v>
      </c>
      <c r="K20" s="226">
        <f>+IF(FundoManeio!K24&gt;0,FundoManeio!K24,0)</f>
        <v>1278.9742703546181</v>
      </c>
      <c r="L20" s="226">
        <f>+IF(FundoManeio!L24&gt;0,FundoManeio!L24,0)</f>
        <v>1061.5900147049688</v>
      </c>
      <c r="M20" s="226">
        <f>+IF(FundoManeio!M24&gt;0,FundoManeio!M24,0)</f>
        <v>947.77321782225044</v>
      </c>
    </row>
    <row r="21" spans="1:13" ht="11.25">
      <c r="A21" s="115" t="s">
        <v>346</v>
      </c>
      <c r="B21" s="496"/>
      <c r="C21" s="226"/>
      <c r="D21" s="226">
        <f>+DR!B30</f>
        <v>0</v>
      </c>
      <c r="E21" s="226">
        <f>+DR!C30</f>
        <v>0</v>
      </c>
      <c r="F21" s="226">
        <f>+DR!D30</f>
        <v>0</v>
      </c>
      <c r="G21" s="226">
        <f>+DR!E30</f>
        <v>0</v>
      </c>
      <c r="H21" s="226">
        <f>+DR!F30</f>
        <v>2655.1353772976713</v>
      </c>
      <c r="I21" s="226">
        <f>+DR!G30</f>
        <v>14361.449932244126</v>
      </c>
      <c r="J21" s="226">
        <f>+DR!H30</f>
        <v>18321.496694035668</v>
      </c>
      <c r="K21" s="226">
        <f>+DR!I30</f>
        <v>30237.812912443263</v>
      </c>
      <c r="L21" s="226">
        <f>+DR!J30</f>
        <v>0</v>
      </c>
      <c r="M21" s="226">
        <f>+DR!K30</f>
        <v>32361.741742699596</v>
      </c>
    </row>
    <row r="22" spans="1:13" ht="11.25">
      <c r="A22" s="115" t="s">
        <v>347</v>
      </c>
      <c r="B22" s="496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</row>
    <row r="23" spans="1:13" ht="11.25">
      <c r="A23" s="115" t="s">
        <v>348</v>
      </c>
      <c r="B23" s="496"/>
      <c r="C23" s="226">
        <f>+Financiamento!C104</f>
        <v>0</v>
      </c>
      <c r="D23" s="226">
        <f>+Financiamento!D104</f>
        <v>0</v>
      </c>
      <c r="E23" s="226">
        <f>+Financiamento!E104</f>
        <v>20000</v>
      </c>
      <c r="F23" s="226">
        <f>+Financiamento!F104</f>
        <v>30000</v>
      </c>
      <c r="G23" s="226">
        <f>+Financiamento!G104</f>
        <v>30000</v>
      </c>
      <c r="H23" s="226">
        <f>+Financiamento!H104</f>
        <v>30000</v>
      </c>
      <c r="I23" s="226">
        <f>+Financiamento!I104</f>
        <v>30000</v>
      </c>
      <c r="J23" s="226">
        <f>+Financiamento!J104</f>
        <v>10000</v>
      </c>
      <c r="K23" s="226">
        <f>+Financiamento!K104</f>
        <v>0</v>
      </c>
      <c r="L23" s="226">
        <f>+Financiamento!L104</f>
        <v>0</v>
      </c>
      <c r="M23" s="226">
        <f>+Financiamento!M104</f>
        <v>0</v>
      </c>
    </row>
    <row r="24" spans="1:13" ht="11.25">
      <c r="A24" s="115" t="s">
        <v>349</v>
      </c>
      <c r="B24" s="496"/>
      <c r="C24" s="226">
        <f>+DR!B28</f>
        <v>8032</v>
      </c>
      <c r="D24" s="226">
        <f>+DR!C28</f>
        <v>11546</v>
      </c>
      <c r="E24" s="226">
        <f>+DR!D28</f>
        <v>11546</v>
      </c>
      <c r="F24" s="226">
        <f>+DR!E28</f>
        <v>9939.6</v>
      </c>
      <c r="G24" s="226">
        <f>+DR!F28</f>
        <v>7630.4</v>
      </c>
      <c r="H24" s="226">
        <f>+DR!G28</f>
        <v>5321.2</v>
      </c>
      <c r="I24" s="226">
        <f>+DR!H28</f>
        <v>3012</v>
      </c>
      <c r="J24" s="226">
        <f>+DR!I28</f>
        <v>702.80000000000007</v>
      </c>
      <c r="K24" s="226">
        <f>+DR!J28</f>
        <v>0</v>
      </c>
      <c r="L24" s="226">
        <f>+DR!K28</f>
        <v>0</v>
      </c>
      <c r="M24" s="226">
        <f>+DR!L28</f>
        <v>0</v>
      </c>
    </row>
    <row r="25" spans="1:13" ht="11.25">
      <c r="A25" s="574"/>
      <c r="B25" s="575"/>
      <c r="C25" s="438"/>
      <c r="D25" s="438"/>
      <c r="E25" s="438"/>
      <c r="F25" s="438"/>
      <c r="G25" s="438"/>
      <c r="H25" s="438"/>
      <c r="I25" s="438"/>
      <c r="J25" s="438"/>
      <c r="K25" s="438"/>
      <c r="L25" s="438"/>
      <c r="M25" s="438"/>
    </row>
    <row r="26" spans="1:13" ht="11.25">
      <c r="A26" s="572" t="s">
        <v>350</v>
      </c>
      <c r="B26" s="573"/>
      <c r="C26" s="227">
        <f>+SUM(C19:C25)</f>
        <v>41347.511437428424</v>
      </c>
      <c r="D26" s="227">
        <f>+SUM(D19:D25)</f>
        <v>12374</v>
      </c>
      <c r="E26" s="227">
        <f>+SUM(E19:E25)</f>
        <v>33795.165423359635</v>
      </c>
      <c r="F26" s="227">
        <f t="shared" ref="F26:M26" si="1">+SUM(F19:F25)</f>
        <v>53863.233116397038</v>
      </c>
      <c r="G26" s="227">
        <f t="shared" si="1"/>
        <v>52298.873407275321</v>
      </c>
      <c r="H26" s="227">
        <f t="shared" si="1"/>
        <v>40718.006056281032</v>
      </c>
      <c r="I26" s="227">
        <f t="shared" si="1"/>
        <v>50095.995876297922</v>
      </c>
      <c r="J26" s="227">
        <f t="shared" si="1"/>
        <v>32786.990774464757</v>
      </c>
      <c r="K26" s="227">
        <f t="shared" si="1"/>
        <v>32663.187182797883</v>
      </c>
      <c r="L26" s="227">
        <f t="shared" si="1"/>
        <v>2261.0700147049688</v>
      </c>
      <c r="M26" s="227">
        <f t="shared" si="1"/>
        <v>34508.99496052185</v>
      </c>
    </row>
    <row r="27" spans="1:13" ht="11.25">
      <c r="A27" s="576" t="s">
        <v>351</v>
      </c>
      <c r="B27" s="577"/>
      <c r="C27" s="227">
        <f>+C17-C26</f>
        <v>9424.6432910975345</v>
      </c>
      <c r="D27" s="227">
        <f>+D17-D26</f>
        <v>334.82499267375351</v>
      </c>
      <c r="E27" s="227">
        <f>+E17-E26</f>
        <v>-50113.397635408342</v>
      </c>
      <c r="F27" s="227">
        <f t="shared" ref="F27:M27" si="2">+F17-F26</f>
        <v>-65007.348496512655</v>
      </c>
      <c r="G27" s="227">
        <f t="shared" si="2"/>
        <v>-25551.225898084638</v>
      </c>
      <c r="H27" s="227">
        <f t="shared" si="2"/>
        <v>22351.523672695468</v>
      </c>
      <c r="I27" s="227">
        <f t="shared" si="2"/>
        <v>26513.370899844755</v>
      </c>
      <c r="J27" s="227">
        <f t="shared" si="2"/>
        <v>89196.130875308299</v>
      </c>
      <c r="K27" s="227">
        <f t="shared" si="2"/>
        <v>101529.02777871003</v>
      </c>
      <c r="L27" s="227">
        <f t="shared" si="2"/>
        <v>149007.97015364803</v>
      </c>
      <c r="M27" s="227">
        <f t="shared" si="2"/>
        <v>131847.82546359338</v>
      </c>
    </row>
    <row r="28" spans="1:13" ht="11.25">
      <c r="A28" s="576" t="s">
        <v>352</v>
      </c>
      <c r="B28" s="577"/>
      <c r="C28" s="227">
        <f>+C27</f>
        <v>9424.6432910975345</v>
      </c>
      <c r="D28" s="227">
        <f>+C28+D27</f>
        <v>9759.468283771288</v>
      </c>
      <c r="E28" s="227">
        <f>+D28+E27</f>
        <v>-40353.929351637053</v>
      </c>
      <c r="F28" s="227">
        <f t="shared" ref="F28:M28" si="3">+E28+F27</f>
        <v>-105361.27784814971</v>
      </c>
      <c r="G28" s="227">
        <f t="shared" si="3"/>
        <v>-130912.50374623435</v>
      </c>
      <c r="H28" s="227">
        <f t="shared" si="3"/>
        <v>-108560.98007353887</v>
      </c>
      <c r="I28" s="227">
        <f t="shared" si="3"/>
        <v>-82047.609173694116</v>
      </c>
      <c r="J28" s="227">
        <f t="shared" si="3"/>
        <v>7148.5217016141833</v>
      </c>
      <c r="K28" s="227">
        <f t="shared" si="3"/>
        <v>108677.54948032422</v>
      </c>
      <c r="L28" s="227">
        <f t="shared" si="3"/>
        <v>257685.51963397226</v>
      </c>
      <c r="M28" s="227">
        <f t="shared" si="3"/>
        <v>389533.34509756567</v>
      </c>
    </row>
    <row r="29" spans="1:13" ht="11.25">
      <c r="A29" s="576" t="s">
        <v>353</v>
      </c>
      <c r="B29" s="577"/>
      <c r="C29" s="400"/>
      <c r="D29" s="400"/>
      <c r="E29" s="400"/>
      <c r="F29" s="400"/>
      <c r="G29" s="400"/>
      <c r="H29" s="400"/>
      <c r="I29" s="400"/>
      <c r="J29" s="400"/>
      <c r="K29" s="400"/>
      <c r="L29" s="400"/>
      <c r="M29" s="400"/>
    </row>
    <row r="30" spans="1:13" ht="11.25">
      <c r="A30" s="576" t="s">
        <v>354</v>
      </c>
      <c r="B30" s="577"/>
      <c r="C30" s="400">
        <f>+C28-C29</f>
        <v>9424.6432910975345</v>
      </c>
      <c r="D30" s="400">
        <f>+D28-D29</f>
        <v>9759.468283771288</v>
      </c>
      <c r="E30" s="400">
        <f>+E28-E29</f>
        <v>-40353.929351637053</v>
      </c>
      <c r="F30" s="400">
        <f t="shared" ref="F30:M30" si="4">+F28-F29</f>
        <v>-105361.27784814971</v>
      </c>
      <c r="G30" s="400">
        <f t="shared" si="4"/>
        <v>-130912.50374623435</v>
      </c>
      <c r="H30" s="400">
        <f t="shared" si="4"/>
        <v>-108560.98007353887</v>
      </c>
      <c r="I30" s="400">
        <f t="shared" si="4"/>
        <v>-82047.609173694116</v>
      </c>
      <c r="J30" s="400">
        <f t="shared" si="4"/>
        <v>7148.5217016141833</v>
      </c>
      <c r="K30" s="400">
        <f t="shared" si="4"/>
        <v>108677.54948032422</v>
      </c>
      <c r="L30" s="400">
        <f t="shared" si="4"/>
        <v>257685.51963397226</v>
      </c>
      <c r="M30" s="400">
        <f t="shared" si="4"/>
        <v>389533.34509756567</v>
      </c>
    </row>
    <row r="31" spans="1:13" ht="11.25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</row>
    <row r="32" spans="1:13" ht="11.25">
      <c r="A32" s="54"/>
      <c r="B32" s="54"/>
      <c r="C32" s="197"/>
      <c r="D32" s="197"/>
      <c r="E32" s="197"/>
      <c r="F32" s="197"/>
      <c r="G32" s="197"/>
      <c r="H32" s="197"/>
      <c r="I32" s="197"/>
      <c r="J32" s="54"/>
      <c r="K32" s="54"/>
      <c r="L32" s="54"/>
      <c r="M32" s="54"/>
    </row>
    <row r="33" spans="1:13" ht="11.25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</row>
    <row r="34" spans="1:13" ht="11.25">
      <c r="A34" s="155"/>
      <c r="B34" s="54"/>
      <c r="C34" s="54"/>
      <c r="D34" s="54"/>
      <c r="E34" s="54"/>
      <c r="F34" s="54"/>
      <c r="G34" s="54"/>
      <c r="H34" s="54"/>
      <c r="I34" s="54"/>
      <c r="J34" s="197"/>
      <c r="K34" s="54"/>
      <c r="L34" s="54"/>
      <c r="M34" s="54"/>
    </row>
    <row r="35" spans="1:13" ht="11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</row>
  </sheetData>
  <sheetProtection password="8318" sheet="1"/>
  <mergeCells count="11">
    <mergeCell ref="A25:B25"/>
    <mergeCell ref="A30:B30"/>
    <mergeCell ref="A29:B29"/>
    <mergeCell ref="A28:B28"/>
    <mergeCell ref="A26:B26"/>
    <mergeCell ref="A27:B27"/>
    <mergeCell ref="A4:M4"/>
    <mergeCell ref="A18:B18"/>
    <mergeCell ref="A8:B8"/>
    <mergeCell ref="A17:B17"/>
    <mergeCell ref="A16:B16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pageSetUpPr fitToPage="1"/>
  </sheetPr>
  <dimension ref="A1:O59"/>
  <sheetViews>
    <sheetView showGridLines="0" showZeros="0" workbookViewId="0">
      <selection activeCell="J3" sqref="J3"/>
    </sheetView>
  </sheetViews>
  <sheetFormatPr defaultColWidth="8.85546875" defaultRowHeight="11.1"/>
  <cols>
    <col min="1" max="1" width="20.5703125" style="63" bestFit="1" customWidth="1"/>
    <col min="2" max="2" width="7.5703125" style="63" customWidth="1"/>
    <col min="3" max="10" width="9.140625" style="63" bestFit="1" customWidth="1"/>
    <col min="11" max="12" width="9.5703125" style="63" bestFit="1" customWidth="1"/>
    <col min="13" max="13" width="9.140625" style="63" customWidth="1"/>
    <col min="14" max="17" width="11.42578125" style="63" customWidth="1"/>
    <col min="18" max="16384" width="8.85546875" style="63"/>
  </cols>
  <sheetData>
    <row r="1" spans="1:15" ht="11.25">
      <c r="A1" s="54"/>
      <c r="B1" s="54"/>
      <c r="C1" s="229"/>
      <c r="D1" s="229"/>
      <c r="E1" s="229"/>
      <c r="F1" s="229"/>
      <c r="G1" s="229"/>
      <c r="H1" s="229"/>
      <c r="I1" s="229"/>
      <c r="J1" s="229"/>
      <c r="K1" s="229"/>
      <c r="L1" s="230" t="s">
        <v>30</v>
      </c>
      <c r="M1" s="231" t="str">
        <f>+Pressupostos!E1</f>
        <v>DUQUESA</v>
      </c>
    </row>
    <row r="2" spans="1:15" s="234" customFormat="1" ht="11.25">
      <c r="A2" s="232"/>
      <c r="B2" s="232"/>
      <c r="C2" s="232"/>
      <c r="D2" s="232"/>
      <c r="E2" s="232"/>
      <c r="F2" s="232"/>
      <c r="G2" s="232"/>
      <c r="H2" s="232"/>
      <c r="I2" s="232"/>
      <c r="J2" s="232"/>
      <c r="K2" s="232"/>
      <c r="L2" s="232"/>
      <c r="M2" s="233" t="str">
        <f>+Pressupostos!B9</f>
        <v>Euros</v>
      </c>
    </row>
    <row r="3" spans="1:15" s="234" customFormat="1" ht="11.25">
      <c r="A3" s="232"/>
      <c r="B3" s="232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3"/>
    </row>
    <row r="4" spans="1:15" ht="15.75">
      <c r="A4" s="526" t="s">
        <v>355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</row>
    <row r="5" spans="1:15" ht="11.25">
      <c r="A5" s="54"/>
      <c r="B5" s="54"/>
      <c r="C5" s="139"/>
      <c r="D5" s="54"/>
      <c r="E5" s="54"/>
      <c r="F5" s="54"/>
      <c r="G5" s="54"/>
      <c r="H5" s="54"/>
      <c r="I5" s="54"/>
      <c r="J5" s="54"/>
      <c r="K5" s="54"/>
      <c r="L5" s="54"/>
      <c r="M5" s="54"/>
    </row>
    <row r="6" spans="1:15" ht="11.25">
      <c r="A6" s="54"/>
      <c r="B6" s="54"/>
      <c r="C6" s="139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15" ht="11.25">
      <c r="A7" s="494"/>
      <c r="B7" s="496"/>
      <c r="C7" s="493">
        <f>+VN!C8</f>
        <v>2020</v>
      </c>
      <c r="D7" s="493">
        <f>+VN!D8</f>
        <v>2021</v>
      </c>
      <c r="E7" s="493">
        <f>+VN!E8</f>
        <v>2022</v>
      </c>
      <c r="F7" s="493">
        <f>+VN!F8</f>
        <v>2023</v>
      </c>
      <c r="G7" s="493">
        <f>+VN!G8</f>
        <v>2024</v>
      </c>
      <c r="H7" s="493">
        <f>+VN!H8</f>
        <v>2025</v>
      </c>
      <c r="I7" s="493">
        <f>+VN!I8</f>
        <v>2026</v>
      </c>
      <c r="J7" s="493">
        <f>+VN!J8</f>
        <v>2027</v>
      </c>
      <c r="K7" s="493">
        <f>+VN!K8</f>
        <v>2028</v>
      </c>
      <c r="L7" s="493">
        <f>+VN!L8</f>
        <v>2029</v>
      </c>
      <c r="M7" s="493">
        <f>+VN!M8</f>
        <v>2030</v>
      </c>
    </row>
    <row r="8" spans="1:15" ht="11.25">
      <c r="A8" s="578" t="s">
        <v>356</v>
      </c>
      <c r="B8" s="579"/>
      <c r="C8" s="235"/>
      <c r="D8" s="235"/>
      <c r="E8" s="235"/>
      <c r="F8" s="235"/>
      <c r="G8" s="235"/>
      <c r="H8" s="235"/>
      <c r="I8" s="235"/>
      <c r="J8" s="235"/>
      <c r="K8" s="235"/>
      <c r="L8" s="235"/>
      <c r="M8" s="235"/>
    </row>
    <row r="9" spans="1:15" ht="11.25">
      <c r="A9" s="140" t="s">
        <v>357</v>
      </c>
      <c r="B9" s="121"/>
      <c r="C9" s="143">
        <f>SUM(C10:C13)</f>
        <v>25034.064333333332</v>
      </c>
      <c r="D9" s="143">
        <f>SUM(D10:D13)</f>
        <v>19116.158666666666</v>
      </c>
      <c r="E9" s="143">
        <f t="shared" ref="E9:M9" si="0">SUM(E10:E13)</f>
        <v>12922.253000000001</v>
      </c>
      <c r="F9" s="143">
        <f t="shared" si="0"/>
        <v>16108.022000000004</v>
      </c>
      <c r="G9" s="143">
        <f t="shared" si="0"/>
        <v>19827.396000000004</v>
      </c>
      <c r="H9" s="143">
        <f t="shared" si="0"/>
        <v>20432.456000000002</v>
      </c>
      <c r="I9" s="143">
        <f t="shared" si="0"/>
        <v>21055.216000000004</v>
      </c>
      <c r="J9" s="143">
        <f t="shared" si="0"/>
        <v>21713.356000000003</v>
      </c>
      <c r="K9" s="143">
        <f t="shared" si="0"/>
        <v>22477.62266666667</v>
      </c>
      <c r="L9" s="143">
        <f t="shared" si="0"/>
        <v>23277.276000000002</v>
      </c>
      <c r="M9" s="143">
        <f t="shared" si="0"/>
        <v>24076.929333333333</v>
      </c>
    </row>
    <row r="10" spans="1:15" ht="11.25">
      <c r="A10" s="55" t="s">
        <v>232</v>
      </c>
      <c r="B10" s="121"/>
      <c r="C10" s="104">
        <f>+Investimento!C180</f>
        <v>24410.731</v>
      </c>
      <c r="D10" s="104">
        <f>+Investimento!D180</f>
        <v>18252.491999999998</v>
      </c>
      <c r="E10" s="104">
        <f>+Investimento!E180</f>
        <v>12094.253000000001</v>
      </c>
      <c r="F10" s="104">
        <f>+Investimento!F180</f>
        <v>15004.022000000004</v>
      </c>
      <c r="G10" s="104">
        <f>+Investimento!G180</f>
        <v>18136.016000000003</v>
      </c>
      <c r="H10" s="104">
        <f>+Investimento!H180</f>
        <v>18136.016000000003</v>
      </c>
      <c r="I10" s="104">
        <f>+Investimento!I180</f>
        <v>18136.016000000003</v>
      </c>
      <c r="J10" s="104">
        <f>+Investimento!J180</f>
        <v>18136.016000000003</v>
      </c>
      <c r="K10" s="104">
        <f>+Investimento!K180</f>
        <v>18136.016000000003</v>
      </c>
      <c r="L10" s="104">
        <f>+Investimento!L180</f>
        <v>18136.016000000003</v>
      </c>
      <c r="M10" s="104">
        <f>+Investimento!M180</f>
        <v>18136.016000000003</v>
      </c>
    </row>
    <row r="11" spans="1:15" ht="11.25">
      <c r="A11" s="55" t="s">
        <v>227</v>
      </c>
      <c r="B11" s="121"/>
      <c r="C11" s="104">
        <f>+Investimento!C179</f>
        <v>0</v>
      </c>
      <c r="D11" s="104">
        <f>+Investimento!D179</f>
        <v>0</v>
      </c>
      <c r="E11" s="104">
        <f>+Investimento!E179</f>
        <v>0</v>
      </c>
      <c r="F11" s="104">
        <f>+Investimento!F179</f>
        <v>0</v>
      </c>
      <c r="G11" s="104">
        <f>+Investimento!G179</f>
        <v>0</v>
      </c>
      <c r="H11" s="104">
        <f>+Investimento!H179</f>
        <v>0</v>
      </c>
      <c r="I11" s="104">
        <f>+Investimento!I179</f>
        <v>0</v>
      </c>
      <c r="J11" s="104">
        <f>+Investimento!J179</f>
        <v>0</v>
      </c>
      <c r="K11" s="104">
        <f>+Investimento!K179</f>
        <v>0</v>
      </c>
      <c r="L11" s="104">
        <f>+Investimento!L179</f>
        <v>0</v>
      </c>
      <c r="M11" s="104">
        <f>+Investimento!M179</f>
        <v>0</v>
      </c>
    </row>
    <row r="12" spans="1:15" ht="11.25">
      <c r="A12" s="55" t="s">
        <v>241</v>
      </c>
      <c r="B12" s="121"/>
      <c r="C12" s="104">
        <f>+Investimento!C181</f>
        <v>623.33333333333326</v>
      </c>
      <c r="D12" s="104">
        <f>+Investimento!D181</f>
        <v>863.66666666666674</v>
      </c>
      <c r="E12" s="104">
        <f>+Investimento!E181</f>
        <v>828</v>
      </c>
      <c r="F12" s="104">
        <f>+Investimento!F181</f>
        <v>1104</v>
      </c>
      <c r="G12" s="104">
        <f>+Investimento!G181</f>
        <v>1691.3799999999997</v>
      </c>
      <c r="H12" s="104">
        <f>+Investimento!H181</f>
        <v>2296.4399999999996</v>
      </c>
      <c r="I12" s="104">
        <f>+Investimento!I181</f>
        <v>2919.2</v>
      </c>
      <c r="J12" s="104">
        <f>+Investimento!J181</f>
        <v>3577.3399999999997</v>
      </c>
      <c r="K12" s="104">
        <f>+Investimento!K181</f>
        <v>4341.6066666666666</v>
      </c>
      <c r="L12" s="104">
        <f>+Investimento!L181</f>
        <v>5141.2599999999993</v>
      </c>
      <c r="M12" s="104">
        <f>+Investimento!M181</f>
        <v>5940.913333333332</v>
      </c>
    </row>
    <row r="13" spans="1:15" ht="11.25">
      <c r="A13" s="55" t="s">
        <v>358</v>
      </c>
      <c r="B13" s="121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</row>
    <row r="14" spans="1:15" ht="11.25">
      <c r="A14" s="55"/>
      <c r="B14" s="121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</row>
    <row r="15" spans="1:15" ht="11.25">
      <c r="A15" s="140" t="s">
        <v>359</v>
      </c>
      <c r="B15" s="121"/>
      <c r="C15" s="143">
        <f>SUM(C16:C22)</f>
        <v>6331.4136927545096</v>
      </c>
      <c r="D15" s="143">
        <f>SUM(D16:D22)</f>
        <v>6555.8938048141581</v>
      </c>
      <c r="E15" s="143">
        <f t="shared" ref="E15:M15" si="1">SUM(E16:E22)</f>
        <v>10448.698702318696</v>
      </c>
      <c r="F15" s="143">
        <f t="shared" si="1"/>
        <v>15663.816076681429</v>
      </c>
      <c r="G15" s="143">
        <f t="shared" si="1"/>
        <v>22212.682424965446</v>
      </c>
      <c r="H15" s="143">
        <f t="shared" si="1"/>
        <v>29542.518738772687</v>
      </c>
      <c r="I15" s="143">
        <f t="shared" si="1"/>
        <v>37233.943635660587</v>
      </c>
      <c r="J15" s="143">
        <f t="shared" si="1"/>
        <v>44665.62232829789</v>
      </c>
      <c r="K15" s="143">
        <f t="shared" si="1"/>
        <v>49740.604333619158</v>
      </c>
      <c r="L15" s="143">
        <f t="shared" si="1"/>
        <v>52753.547463107199</v>
      </c>
      <c r="M15" s="143">
        <f t="shared" si="1"/>
        <v>55486.647916256705</v>
      </c>
      <c r="N15" s="157"/>
      <c r="O15" s="157"/>
    </row>
    <row r="16" spans="1:15" ht="11.25">
      <c r="A16" s="55" t="s">
        <v>173</v>
      </c>
      <c r="B16" s="121"/>
      <c r="C16" s="104">
        <f>+FundoManeio!C11</f>
        <v>287.14496964475171</v>
      </c>
      <c r="D16" s="104">
        <f>+FundoManeio!D11</f>
        <v>519.97167981415851</v>
      </c>
      <c r="E16" s="104">
        <f>+FundoManeio!E11</f>
        <v>949.94134951869557</v>
      </c>
      <c r="F16" s="104">
        <f>+FundoManeio!F11</f>
        <v>1493.0386871894286</v>
      </c>
      <c r="G16" s="104">
        <f>+FundoManeio!G11</f>
        <v>2175.0031962237567</v>
      </c>
      <c r="H16" s="104">
        <f>+FundoManeio!H11</f>
        <v>2935.3401464956646</v>
      </c>
      <c r="I16" s="104">
        <f>+FundoManeio!I11</f>
        <v>3694.527038507686</v>
      </c>
      <c r="J16" s="104">
        <f>+FundoManeio!J11</f>
        <v>4412.2630966649103</v>
      </c>
      <c r="K16" s="104">
        <f>+FundoManeio!K11</f>
        <v>4876.0613345033753</v>
      </c>
      <c r="L16" s="104">
        <f>+FundoManeio!L11</f>
        <v>5148.6811666731737</v>
      </c>
      <c r="M16" s="104">
        <f>+FundoManeio!M11</f>
        <v>5396.5251648390195</v>
      </c>
      <c r="N16" s="157"/>
      <c r="O16" s="157"/>
    </row>
    <row r="17" spans="1:15" ht="11.25">
      <c r="A17" s="55" t="s">
        <v>172</v>
      </c>
      <c r="B17" s="121"/>
      <c r="C17" s="104">
        <f>+FundoManeio!C10-VN!C87</f>
        <v>2247.8250000000003</v>
      </c>
      <c r="D17" s="104">
        <f>+FundoManeio!D10-SUM(VN!$C$87:D87)</f>
        <v>4035.9221249999996</v>
      </c>
      <c r="E17" s="104">
        <f>+FundoManeio!E10-SUM(VN!$C$87:E87)</f>
        <v>7498.7573527999994</v>
      </c>
      <c r="F17" s="104">
        <f>+FundoManeio!F10-SUM(VN!$C$87:F87)</f>
        <v>12170.777389492001</v>
      </c>
      <c r="G17" s="104">
        <f>+FundoManeio!G10-SUM(VN!$C$87:G87)</f>
        <v>18037.67922874169</v>
      </c>
      <c r="H17" s="104">
        <f>+FundoManeio!H10-SUM(VN!$C$87:H87)</f>
        <v>24607.178592277021</v>
      </c>
      <c r="I17" s="104">
        <f>+FundoManeio!I10-SUM(VN!$C$87:I87)</f>
        <v>31539.4165971529</v>
      </c>
      <c r="J17" s="104">
        <f>+FundoManeio!J10-SUM(VN!$C$87:J87)</f>
        <v>38253.359231632981</v>
      </c>
      <c r="K17" s="104">
        <f>+FundoManeio!K10-SUM(VN!$C$87:K87)</f>
        <v>42864.54299911578</v>
      </c>
      <c r="L17" s="104">
        <f>+FundoManeio!L10-SUM(VN!$C$87:L87)</f>
        <v>45604.866296434026</v>
      </c>
      <c r="M17" s="104">
        <f>+FundoManeio!M10-SUM(VN!$C$87:M87)</f>
        <v>48090.122751417686</v>
      </c>
      <c r="N17" s="157"/>
      <c r="O17" s="157"/>
    </row>
    <row r="18" spans="1:15" ht="11.25">
      <c r="A18" s="55" t="s">
        <v>360</v>
      </c>
      <c r="B18" s="121"/>
      <c r="C18" s="104">
        <f>+FundoManeio!C12</f>
        <v>1796.4437231097577</v>
      </c>
      <c r="D18" s="104">
        <f>+FundoManeio!D12</f>
        <v>0</v>
      </c>
      <c r="E18" s="104">
        <f>+FundoManeio!E12</f>
        <v>0</v>
      </c>
      <c r="F18" s="104">
        <f>+FundoManeio!F12</f>
        <v>0</v>
      </c>
      <c r="G18" s="104">
        <f>+FundoManeio!G12</f>
        <v>0</v>
      </c>
      <c r="H18" s="104">
        <f>+FundoManeio!H12</f>
        <v>0</v>
      </c>
      <c r="I18" s="104">
        <f>+FundoManeio!I12</f>
        <v>0</v>
      </c>
      <c r="J18" s="104">
        <f>+FundoManeio!J12</f>
        <v>0</v>
      </c>
      <c r="K18" s="104">
        <f>+FundoManeio!K12</f>
        <v>0</v>
      </c>
      <c r="L18" s="104">
        <f>+FundoManeio!L12</f>
        <v>0</v>
      </c>
      <c r="M18" s="104">
        <f>+FundoManeio!M12</f>
        <v>0</v>
      </c>
      <c r="N18" s="157"/>
      <c r="O18" s="157"/>
    </row>
    <row r="19" spans="1:15" ht="11.25">
      <c r="A19" s="55" t="s">
        <v>361</v>
      </c>
      <c r="B19" s="121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57"/>
      <c r="O19" s="157"/>
    </row>
    <row r="20" spans="1:15" ht="11.25">
      <c r="A20" s="55" t="s">
        <v>362</v>
      </c>
      <c r="B20" s="121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57"/>
      <c r="O20" s="157"/>
    </row>
    <row r="21" spans="1:15" ht="11.25">
      <c r="A21" s="55" t="s">
        <v>363</v>
      </c>
      <c r="B21" s="121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57"/>
      <c r="O21" s="157"/>
    </row>
    <row r="22" spans="1:15" ht="11.25">
      <c r="A22" s="55" t="s">
        <v>364</v>
      </c>
      <c r="B22" s="121"/>
      <c r="C22" s="398">
        <f>+IF(PlanoFinanceiro!C29&gt;0,PlanoFinanceiro!C29,0)+FundoManeio!C9</f>
        <v>2000</v>
      </c>
      <c r="D22" s="398">
        <f>+IF(PlanoFinanceiro!D29&gt;0,PlanoFinanceiro!D29,0)+FundoManeio!D9</f>
        <v>2000</v>
      </c>
      <c r="E22" s="398">
        <f>+IF(PlanoFinanceiro!E29&gt;0,PlanoFinanceiro!E29,0)+FundoManeio!E9</f>
        <v>2000</v>
      </c>
      <c r="F22" s="398">
        <f>+IF(PlanoFinanceiro!F29&gt;0,PlanoFinanceiro!F29,0)+FundoManeio!F9</f>
        <v>2000</v>
      </c>
      <c r="G22" s="398">
        <f>+IF(PlanoFinanceiro!G29&gt;0,PlanoFinanceiro!G29,0)+FundoManeio!G9</f>
        <v>2000</v>
      </c>
      <c r="H22" s="398">
        <f>+IF(PlanoFinanceiro!H29&gt;0,PlanoFinanceiro!H29,0)+FundoManeio!H9</f>
        <v>2000</v>
      </c>
      <c r="I22" s="398">
        <f>+IF(PlanoFinanceiro!I29&gt;0,PlanoFinanceiro!I29,0)+FundoManeio!I9</f>
        <v>2000</v>
      </c>
      <c r="J22" s="398">
        <f>+IF(PlanoFinanceiro!J29&gt;0,PlanoFinanceiro!J29,0)+FundoManeio!J9</f>
        <v>2000</v>
      </c>
      <c r="K22" s="398">
        <f>+IF(PlanoFinanceiro!K29&gt;0,PlanoFinanceiro!K29,0)+FundoManeio!K9</f>
        <v>2000</v>
      </c>
      <c r="L22" s="398">
        <f>+IF(PlanoFinanceiro!L29&gt;0,PlanoFinanceiro!L29,0)+FundoManeio!L9</f>
        <v>2000</v>
      </c>
      <c r="M22" s="398">
        <f>+IF(PlanoFinanceiro!M29&gt;0,PlanoFinanceiro!M29,0)+FundoManeio!M9</f>
        <v>2000</v>
      </c>
      <c r="N22" s="157"/>
      <c r="O22" s="157"/>
    </row>
    <row r="23" spans="1:15" ht="12" thickBot="1">
      <c r="A23" s="548" t="s">
        <v>365</v>
      </c>
      <c r="B23" s="549"/>
      <c r="C23" s="236">
        <f>+C15+C9</f>
        <v>31365.47802608784</v>
      </c>
      <c r="D23" s="236">
        <f>+D15+D9</f>
        <v>25672.052471480823</v>
      </c>
      <c r="E23" s="236">
        <f t="shared" ref="E23:M23" si="2">+E15+E9</f>
        <v>23370.951702318696</v>
      </c>
      <c r="F23" s="236">
        <f t="shared" si="2"/>
        <v>31771.838076681433</v>
      </c>
      <c r="G23" s="236">
        <f t="shared" si="2"/>
        <v>42040.078424965453</v>
      </c>
      <c r="H23" s="236">
        <f t="shared" si="2"/>
        <v>49974.974738772689</v>
      </c>
      <c r="I23" s="236">
        <f t="shared" si="2"/>
        <v>58289.159635660588</v>
      </c>
      <c r="J23" s="236">
        <f t="shared" si="2"/>
        <v>66378.97832829789</v>
      </c>
      <c r="K23" s="236">
        <f t="shared" si="2"/>
        <v>72218.227000285828</v>
      </c>
      <c r="L23" s="236">
        <f t="shared" si="2"/>
        <v>76030.823463107197</v>
      </c>
      <c r="M23" s="236">
        <f t="shared" si="2"/>
        <v>79563.577249590046</v>
      </c>
      <c r="N23" s="157"/>
      <c r="O23" s="157"/>
    </row>
    <row r="24" spans="1:15" ht="12" thickTop="1">
      <c r="A24" s="183"/>
      <c r="B24" s="54"/>
      <c r="C24" s="113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157"/>
      <c r="O24" s="157"/>
    </row>
    <row r="25" spans="1:15" ht="11.25">
      <c r="A25" s="551" t="s">
        <v>366</v>
      </c>
      <c r="B25" s="580"/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35"/>
      <c r="N25" s="157"/>
      <c r="O25" s="157"/>
    </row>
    <row r="26" spans="1:15" ht="11.25">
      <c r="A26" s="128" t="s">
        <v>367</v>
      </c>
      <c r="B26" s="121"/>
      <c r="C26" s="104">
        <f>+Financiamento!C15</f>
        <v>0</v>
      </c>
      <c r="D26" s="104">
        <f>+C26+Financiamento!D15</f>
        <v>0</v>
      </c>
      <c r="E26" s="104">
        <f>+D26+Financiamento!E15</f>
        <v>0</v>
      </c>
      <c r="F26" s="104">
        <f>+E26+Financiamento!F15</f>
        <v>0</v>
      </c>
      <c r="G26" s="104">
        <f>+F26+Financiamento!G15</f>
        <v>0</v>
      </c>
      <c r="H26" s="104">
        <f>+G26+Financiamento!H15</f>
        <v>0</v>
      </c>
      <c r="I26" s="104">
        <f>+H26+Financiamento!I15</f>
        <v>0</v>
      </c>
      <c r="J26" s="104">
        <f>+I26+Financiamento!J15</f>
        <v>0</v>
      </c>
      <c r="K26" s="104">
        <f>+J26+Financiamento!K15</f>
        <v>0</v>
      </c>
      <c r="L26" s="104">
        <f>+K26+Financiamento!L15</f>
        <v>0</v>
      </c>
      <c r="M26" s="104">
        <f>+L26+Financiamento!M15</f>
        <v>0</v>
      </c>
      <c r="N26" s="157"/>
      <c r="O26" s="157"/>
    </row>
    <row r="27" spans="1:15" ht="11.25">
      <c r="A27" s="128" t="s">
        <v>368</v>
      </c>
      <c r="B27" s="121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57"/>
      <c r="O27" s="157"/>
    </row>
    <row r="28" spans="1:15" ht="11.25">
      <c r="A28" s="128" t="s">
        <v>369</v>
      </c>
      <c r="B28" s="121"/>
      <c r="C28" s="104">
        <f>+Financiamento!C16</f>
        <v>0</v>
      </c>
      <c r="D28" s="104">
        <f>+C28+Financiamento!D16</f>
        <v>0</v>
      </c>
      <c r="E28" s="104">
        <f>+D28+Financiamento!E16</f>
        <v>0</v>
      </c>
      <c r="F28" s="104">
        <f>+E28+Financiamento!F16</f>
        <v>0</v>
      </c>
      <c r="G28" s="104">
        <f>+F28+Financiamento!G16</f>
        <v>0</v>
      </c>
      <c r="H28" s="104">
        <f>+G28+Financiamento!H16</f>
        <v>0</v>
      </c>
      <c r="I28" s="104">
        <f>+H28+Financiamento!I16</f>
        <v>0</v>
      </c>
      <c r="J28" s="104">
        <f>+I28+Financiamento!J16</f>
        <v>0</v>
      </c>
      <c r="K28" s="104">
        <f>+J28+Financiamento!K16</f>
        <v>0</v>
      </c>
      <c r="L28" s="104">
        <f>+K28+Financiamento!L16</f>
        <v>0</v>
      </c>
      <c r="M28" s="104">
        <f>+L28+Financiamento!M16</f>
        <v>0</v>
      </c>
      <c r="N28" s="157"/>
      <c r="O28" s="157"/>
    </row>
    <row r="29" spans="1:15" ht="11.25">
      <c r="A29" s="128" t="s">
        <v>370</v>
      </c>
      <c r="B29" s="121"/>
      <c r="C29" s="104"/>
      <c r="D29" s="104">
        <f>+C29+C32-PlanoFinanceiro!D22</f>
        <v>-63729.750938140707</v>
      </c>
      <c r="E29" s="104">
        <f>+D29+D32-PlanoFinanceiro!E22</f>
        <v>-120346.19028034717</v>
      </c>
      <c r="F29" s="104">
        <f>+E29+E32-PlanoFinanceiro!F22</f>
        <v>-155232.32815906254</v>
      </c>
      <c r="G29" s="104">
        <f>+F29+F32-PlanoFinanceiro!G22</f>
        <v>-185293.28453917816</v>
      </c>
      <c r="H29" s="104">
        <f>+G29+G32-PlanoFinanceiro!H22</f>
        <v>-177327.87840728514</v>
      </c>
      <c r="I29" s="104">
        <f>+H29+H32-PlanoFinanceiro!I22</f>
        <v>-134243.52861055278</v>
      </c>
      <c r="J29" s="104">
        <f>+I29+I32-PlanoFinanceiro!J22</f>
        <v>-79279.038528445773</v>
      </c>
      <c r="K29" s="104">
        <f>+J29+J32-PlanoFinanceiro!K22</f>
        <v>11434.400208884021</v>
      </c>
      <c r="L29" s="104">
        <f>+K29+K32-PlanoFinanceiro!L22</f>
        <v>145244.48183705861</v>
      </c>
      <c r="M29" s="104">
        <f>+L29+L32-PlanoFinanceiro!M22</f>
        <v>263751.95359604538</v>
      </c>
      <c r="N29" s="157"/>
      <c r="O29" s="157"/>
    </row>
    <row r="30" spans="1:15" ht="11.25">
      <c r="A30" s="128" t="s">
        <v>371</v>
      </c>
      <c r="B30" s="121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57"/>
      <c r="O30" s="157"/>
    </row>
    <row r="31" spans="1:15" ht="11.25">
      <c r="A31" s="128" t="s">
        <v>372</v>
      </c>
      <c r="B31" s="121"/>
      <c r="C31" s="104">
        <f>+Financiamento!C19</f>
        <v>0</v>
      </c>
      <c r="D31" s="104">
        <f>+C31+Financiamento!D19</f>
        <v>0</v>
      </c>
      <c r="E31" s="104">
        <f>+D31+Financiamento!E19</f>
        <v>0</v>
      </c>
      <c r="F31" s="104">
        <f>+E31+Financiamento!F19</f>
        <v>0</v>
      </c>
      <c r="G31" s="104">
        <f>+F31+Financiamento!G19</f>
        <v>0</v>
      </c>
      <c r="H31" s="104">
        <f>+G31+Financiamento!H19</f>
        <v>0</v>
      </c>
      <c r="I31" s="104">
        <f>+H31+Financiamento!I19</f>
        <v>0</v>
      </c>
      <c r="J31" s="104">
        <f>+I31+Financiamento!J19</f>
        <v>0</v>
      </c>
      <c r="K31" s="104">
        <f>+J31+Financiamento!K19</f>
        <v>0</v>
      </c>
      <c r="L31" s="104">
        <f>+K31+Financiamento!L19</f>
        <v>0</v>
      </c>
      <c r="M31" s="104">
        <f>+L31+Financiamento!M19</f>
        <v>0</v>
      </c>
      <c r="N31" s="157"/>
      <c r="O31" s="157"/>
    </row>
    <row r="32" spans="1:15" ht="11.25">
      <c r="A32" s="128" t="s">
        <v>373</v>
      </c>
      <c r="B32" s="121"/>
      <c r="C32" s="104">
        <f>+DR!B31</f>
        <v>-63729.750938140707</v>
      </c>
      <c r="D32" s="104">
        <f>+DR!C31</f>
        <v>-56616.439342206468</v>
      </c>
      <c r="E32" s="104">
        <f>+DR!D31</f>
        <v>-34886.137878715374</v>
      </c>
      <c r="F32" s="104">
        <f>+DR!E31</f>
        <v>-30060.956380115618</v>
      </c>
      <c r="G32" s="104">
        <f>+DR!F31</f>
        <v>7965.4061318930144</v>
      </c>
      <c r="H32" s="104">
        <f>+DR!G31</f>
        <v>43084.349796732378</v>
      </c>
      <c r="I32" s="104">
        <f>+DR!H31</f>
        <v>54964.490082107004</v>
      </c>
      <c r="J32" s="104">
        <f>+DR!I31</f>
        <v>90713.438737329794</v>
      </c>
      <c r="K32" s="104">
        <f>+DR!J31</f>
        <v>133810.08162817458</v>
      </c>
      <c r="L32" s="104">
        <f>+DR!K31</f>
        <v>118507.47175898675</v>
      </c>
      <c r="M32" s="104">
        <f>+DR!L31</f>
        <v>124467.74531808642</v>
      </c>
      <c r="N32" s="157"/>
      <c r="O32" s="157"/>
    </row>
    <row r="33" spans="1:15" ht="12" thickBot="1">
      <c r="A33" s="548" t="s">
        <v>374</v>
      </c>
      <c r="B33" s="550"/>
      <c r="C33" s="302">
        <f>SUM(C26:C32)</f>
        <v>-63729.750938140707</v>
      </c>
      <c r="D33" s="302">
        <f>SUM(D26:D32)</f>
        <v>-120346.19028034717</v>
      </c>
      <c r="E33" s="302">
        <f t="shared" ref="E33:M33" si="3">SUM(E26:E32)</f>
        <v>-155232.32815906254</v>
      </c>
      <c r="F33" s="302">
        <f t="shared" si="3"/>
        <v>-185293.28453917816</v>
      </c>
      <c r="G33" s="302">
        <f t="shared" si="3"/>
        <v>-177327.87840728514</v>
      </c>
      <c r="H33" s="302">
        <f t="shared" si="3"/>
        <v>-134243.52861055278</v>
      </c>
      <c r="I33" s="302">
        <f t="shared" si="3"/>
        <v>-79279.038528445773</v>
      </c>
      <c r="J33" s="302">
        <f t="shared" si="3"/>
        <v>11434.400208884021</v>
      </c>
      <c r="K33" s="302">
        <f t="shared" si="3"/>
        <v>145244.48183705861</v>
      </c>
      <c r="L33" s="302">
        <f t="shared" si="3"/>
        <v>263751.95359604538</v>
      </c>
      <c r="M33" s="302">
        <f t="shared" si="3"/>
        <v>388219.69891413179</v>
      </c>
      <c r="N33" s="157"/>
      <c r="O33" s="157"/>
    </row>
    <row r="34" spans="1:15" ht="12" thickTop="1">
      <c r="A34" s="54"/>
      <c r="B34" s="54"/>
      <c r="C34" s="215"/>
      <c r="D34" s="215"/>
      <c r="E34" s="215"/>
      <c r="F34" s="215"/>
      <c r="G34" s="215"/>
      <c r="H34" s="215"/>
      <c r="I34" s="215"/>
      <c r="J34" s="215"/>
      <c r="K34" s="215"/>
      <c r="L34" s="215"/>
      <c r="M34" s="215"/>
      <c r="N34" s="157"/>
      <c r="O34" s="157"/>
    </row>
    <row r="35" spans="1:15" ht="11.25">
      <c r="A35" s="581" t="s">
        <v>375</v>
      </c>
      <c r="B35" s="582"/>
      <c r="C35" s="300"/>
      <c r="D35" s="300"/>
      <c r="E35" s="300"/>
      <c r="F35" s="300"/>
      <c r="G35" s="300"/>
      <c r="H35" s="300"/>
      <c r="I35" s="300"/>
      <c r="J35" s="300"/>
      <c r="K35" s="300"/>
      <c r="L35" s="300"/>
      <c r="M35" s="300"/>
      <c r="N35" s="157"/>
      <c r="O35" s="157"/>
    </row>
    <row r="36" spans="1:15" ht="11.25">
      <c r="A36" s="140"/>
      <c r="B36" s="121"/>
      <c r="C36" s="301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157"/>
      <c r="O36" s="157"/>
    </row>
    <row r="37" spans="1:15" ht="11.25">
      <c r="A37" s="140" t="s">
        <v>376</v>
      </c>
      <c r="B37" s="121"/>
      <c r="C37" s="143">
        <f>SUM(C38:C40)</f>
        <v>100000</v>
      </c>
      <c r="D37" s="143">
        <f>SUM(D38:D40)</f>
        <v>150000</v>
      </c>
      <c r="E37" s="143">
        <f t="shared" ref="E37:M37" si="4">SUM(E38:E40)</f>
        <v>130000</v>
      </c>
      <c r="F37" s="143">
        <f t="shared" si="4"/>
        <v>100000</v>
      </c>
      <c r="G37" s="143">
        <f t="shared" si="4"/>
        <v>70000</v>
      </c>
      <c r="H37" s="143">
        <f t="shared" si="4"/>
        <v>40000</v>
      </c>
      <c r="I37" s="143">
        <f t="shared" si="4"/>
        <v>10000</v>
      </c>
      <c r="J37" s="143">
        <f t="shared" si="4"/>
        <v>0</v>
      </c>
      <c r="K37" s="143">
        <f t="shared" si="4"/>
        <v>0</v>
      </c>
      <c r="L37" s="143">
        <f t="shared" si="4"/>
        <v>0</v>
      </c>
      <c r="M37" s="143">
        <f t="shared" si="4"/>
        <v>0</v>
      </c>
      <c r="N37" s="157"/>
      <c r="O37" s="157"/>
    </row>
    <row r="38" spans="1:15" ht="11.25">
      <c r="A38" s="55" t="s">
        <v>377</v>
      </c>
      <c r="B38" s="121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57"/>
      <c r="O38" s="157"/>
    </row>
    <row r="39" spans="1:15" ht="11.25">
      <c r="A39" s="55" t="s">
        <v>378</v>
      </c>
      <c r="B39" s="121"/>
      <c r="C39" s="104">
        <f>+Financiamento!C101</f>
        <v>100000</v>
      </c>
      <c r="D39" s="104">
        <f>+Financiamento!D101</f>
        <v>150000</v>
      </c>
      <c r="E39" s="104">
        <f>+Financiamento!E101</f>
        <v>130000</v>
      </c>
      <c r="F39" s="104">
        <f>+Financiamento!F101</f>
        <v>100000</v>
      </c>
      <c r="G39" s="104">
        <f>+Financiamento!G101</f>
        <v>70000</v>
      </c>
      <c r="H39" s="104">
        <f>+Financiamento!H101</f>
        <v>40000</v>
      </c>
      <c r="I39" s="104">
        <f>+Financiamento!I101</f>
        <v>10000</v>
      </c>
      <c r="J39" s="104">
        <f>+Financiamento!J101</f>
        <v>0</v>
      </c>
      <c r="K39" s="104">
        <f>+Financiamento!K101</f>
        <v>0</v>
      </c>
      <c r="L39" s="104">
        <f>+Financiamento!L101</f>
        <v>0</v>
      </c>
      <c r="M39" s="104">
        <f>+Financiamento!M101</f>
        <v>0</v>
      </c>
      <c r="N39" s="157"/>
      <c r="O39" s="157"/>
    </row>
    <row r="40" spans="1:15" ht="11.25">
      <c r="A40" s="55" t="s">
        <v>379</v>
      </c>
      <c r="B40" s="121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157"/>
      <c r="O40" s="157"/>
    </row>
    <row r="41" spans="1:15" ht="11.25">
      <c r="A41" s="55"/>
      <c r="B41" s="121"/>
      <c r="C41" s="238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157"/>
      <c r="O41" s="157"/>
    </row>
    <row r="42" spans="1:15" ht="11.25">
      <c r="A42" s="140" t="s">
        <v>380</v>
      </c>
      <c r="B42" s="121"/>
      <c r="C42" s="345">
        <f>SUM(C43:C47)</f>
        <v>4519.8722553260886</v>
      </c>
      <c r="D42" s="345">
        <f>SUM(D43:D47)</f>
        <v>5777.7110355992918</v>
      </c>
      <c r="E42" s="345">
        <f t="shared" ref="E42:M42" si="5">SUM(E43:E47)</f>
        <v>8249.3505097441921</v>
      </c>
      <c r="F42" s="345">
        <f t="shared" si="5"/>
        <v>11703.844767709888</v>
      </c>
      <c r="G42" s="345">
        <f t="shared" si="5"/>
        <v>18455.453086016256</v>
      </c>
      <c r="H42" s="345">
        <f t="shared" si="5"/>
        <v>35657.523275786589</v>
      </c>
      <c r="I42" s="345">
        <f t="shared" si="5"/>
        <v>45520.58899041223</v>
      </c>
      <c r="J42" s="345">
        <f t="shared" si="5"/>
        <v>62093.099821028038</v>
      </c>
      <c r="K42" s="345">
        <f t="shared" si="5"/>
        <v>35651.294643551424</v>
      </c>
      <c r="L42" s="345">
        <f t="shared" si="5"/>
        <v>69964.389501034108</v>
      </c>
      <c r="M42" s="345">
        <f t="shared" si="5"/>
        <v>80877.223433023901</v>
      </c>
      <c r="N42" s="157"/>
      <c r="O42" s="157"/>
    </row>
    <row r="43" spans="1:15" ht="11.25">
      <c r="A43" s="55" t="s">
        <v>177</v>
      </c>
      <c r="B43" s="121"/>
      <c r="C43" s="238">
        <f>+FundoManeio!C17</f>
        <v>3475.1222553260891</v>
      </c>
      <c r="D43" s="238">
        <f>+FundoManeio!D17</f>
        <v>4080.1437541428299</v>
      </c>
      <c r="E43" s="238">
        <f>+FundoManeio!E17</f>
        <v>5220.9832758339917</v>
      </c>
      <c r="F43" s="238">
        <f>+FundoManeio!F17</f>
        <v>6568.644502064174</v>
      </c>
      <c r="G43" s="238">
        <f>+FundoManeio!G17</f>
        <v>8296.6368876044016</v>
      </c>
      <c r="H43" s="238">
        <f>+FundoManeio!H17</f>
        <v>10219.968825522237</v>
      </c>
      <c r="I43" s="238">
        <f>+FundoManeio!I17</f>
        <v>12143.040400523239</v>
      </c>
      <c r="J43" s="238">
        <f>+FundoManeio!J17</f>
        <v>13994.381436935451</v>
      </c>
      <c r="K43" s="238">
        <f>+FundoManeio!K17</f>
        <v>15194.453494209476</v>
      </c>
      <c r="L43" s="238">
        <f>+FundoManeio!L17</f>
        <v>15927.892957460492</v>
      </c>
      <c r="M43" s="238">
        <f>+FundoManeio!M17</f>
        <v>16605.101565822915</v>
      </c>
      <c r="N43" s="157"/>
      <c r="O43" s="157"/>
    </row>
    <row r="44" spans="1:15" ht="11.25">
      <c r="A44" s="55" t="s">
        <v>360</v>
      </c>
      <c r="B44" s="121"/>
      <c r="C44" s="238">
        <f>+FundoManeio!C18+DR!B30</f>
        <v>1044.75</v>
      </c>
      <c r="D44" s="238">
        <f>+FundoManeio!D18+DR!C30</f>
        <v>1697.5672814564614</v>
      </c>
      <c r="E44" s="238">
        <f>+FundoManeio!E18+DR!D30</f>
        <v>3028.3672339102004</v>
      </c>
      <c r="F44" s="238">
        <f>+FundoManeio!F18+DR!E30</f>
        <v>5135.2002656457153</v>
      </c>
      <c r="G44" s="238">
        <f>+FundoManeio!G18+DR!F30</f>
        <v>10158.816198411856</v>
      </c>
      <c r="H44" s="238">
        <f>+FundoManeio!H18+DR!G30</f>
        <v>25437.554450264353</v>
      </c>
      <c r="I44" s="238">
        <f>+FundoManeio!I18+DR!H30</f>
        <v>33377.548589888989</v>
      </c>
      <c r="J44" s="238">
        <f>+FundoManeio!J18+DR!I30</f>
        <v>48098.718384092586</v>
      </c>
      <c r="K44" s="238">
        <f>+FundoManeio!K18+DR!J30</f>
        <v>20456.841149341948</v>
      </c>
      <c r="L44" s="238">
        <f>+FundoManeio!L18+DR!K30</f>
        <v>54036.496543573609</v>
      </c>
      <c r="M44" s="238">
        <f>+FundoManeio!M18+DR!L30</f>
        <v>64272.121867200978</v>
      </c>
      <c r="N44" s="157"/>
      <c r="O44" s="157"/>
    </row>
    <row r="45" spans="1:15" ht="11.25">
      <c r="A45" s="55" t="s">
        <v>361</v>
      </c>
      <c r="B45" s="121"/>
      <c r="C45" s="238">
        <f>+Financiamento!C17</f>
        <v>0</v>
      </c>
      <c r="D45" s="238">
        <f>+C45+Financiamento!D17</f>
        <v>0</v>
      </c>
      <c r="E45" s="238">
        <f>+D45+Financiamento!E17</f>
        <v>0</v>
      </c>
      <c r="F45" s="238">
        <f>+E45+Financiamento!F17</f>
        <v>0</v>
      </c>
      <c r="G45" s="238">
        <f>+F45+Financiamento!G17</f>
        <v>0</v>
      </c>
      <c r="H45" s="238">
        <f>+G45+Financiamento!H17</f>
        <v>0</v>
      </c>
      <c r="I45" s="238">
        <f>+H45+Financiamento!I17</f>
        <v>0</v>
      </c>
      <c r="J45" s="238">
        <f>+I45+Financiamento!J17</f>
        <v>0</v>
      </c>
      <c r="K45" s="238">
        <f>+J45+Financiamento!K17</f>
        <v>0</v>
      </c>
      <c r="L45" s="238">
        <f>+K45+Financiamento!L17</f>
        <v>0</v>
      </c>
      <c r="M45" s="238">
        <f>+L45+Financiamento!M17</f>
        <v>0</v>
      </c>
      <c r="N45" s="157"/>
      <c r="O45" s="157"/>
    </row>
    <row r="46" spans="1:15" ht="11.25">
      <c r="A46" s="55" t="s">
        <v>381</v>
      </c>
      <c r="B46" s="121"/>
      <c r="C46" s="398">
        <f>+IF(PlanoFinanceiro!C29&lt;0,-PlanoFinanceiro!C29,0)</f>
        <v>0</v>
      </c>
      <c r="D46" s="398">
        <f>+IF(PlanoFinanceiro!D29&lt;0,-PlanoFinanceiro!D29,0)</f>
        <v>0</v>
      </c>
      <c r="E46" s="398">
        <f>+IF(PlanoFinanceiro!E29&lt;0,-PlanoFinanceiro!E29,0)</f>
        <v>0</v>
      </c>
      <c r="F46" s="398">
        <f>+IF(PlanoFinanceiro!F29&lt;0,-PlanoFinanceiro!F29,0)</f>
        <v>0</v>
      </c>
      <c r="G46" s="398">
        <f>+IF(PlanoFinanceiro!G29&lt;0,-PlanoFinanceiro!G29,0)</f>
        <v>0</v>
      </c>
      <c r="H46" s="398">
        <f>+IF(PlanoFinanceiro!H29&lt;0,-PlanoFinanceiro!H29,0)</f>
        <v>0</v>
      </c>
      <c r="I46" s="398">
        <f>+IF(PlanoFinanceiro!I29&lt;0,-PlanoFinanceiro!I29,0)</f>
        <v>0</v>
      </c>
      <c r="J46" s="398">
        <f>+IF(PlanoFinanceiro!J29&lt;0,-PlanoFinanceiro!J29,0)</f>
        <v>0</v>
      </c>
      <c r="K46" s="398">
        <f>+IF(PlanoFinanceiro!K29&lt;0,-PlanoFinanceiro!K29,0)</f>
        <v>0</v>
      </c>
      <c r="L46" s="398">
        <f>+IF(PlanoFinanceiro!L29&lt;0,-PlanoFinanceiro!L29,0)</f>
        <v>0</v>
      </c>
      <c r="M46" s="398">
        <f>+IF(PlanoFinanceiro!M29&lt;0,-PlanoFinanceiro!M29,0)</f>
        <v>0</v>
      </c>
      <c r="N46" s="157"/>
      <c r="O46" s="157"/>
    </row>
    <row r="47" spans="1:15" ht="11.25">
      <c r="A47" s="55" t="s">
        <v>382</v>
      </c>
      <c r="B47" s="121"/>
      <c r="C47" s="238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157"/>
      <c r="O47" s="157"/>
    </row>
    <row r="48" spans="1:15" ht="11.25">
      <c r="A48" s="140"/>
      <c r="B48" s="121"/>
      <c r="C48" s="238"/>
      <c r="D48" s="238"/>
      <c r="E48" s="238"/>
      <c r="F48" s="238"/>
      <c r="G48" s="238"/>
      <c r="H48" s="238"/>
      <c r="I48" s="238"/>
      <c r="J48" s="238"/>
      <c r="K48" s="238"/>
      <c r="L48" s="238"/>
      <c r="M48" s="238"/>
      <c r="N48" s="157"/>
      <c r="O48" s="157"/>
    </row>
    <row r="49" spans="1:15" ht="12" thickBot="1">
      <c r="A49" s="548" t="s">
        <v>383</v>
      </c>
      <c r="B49" s="550"/>
      <c r="C49" s="302">
        <f>+C42+C37</f>
        <v>104519.87225532609</v>
      </c>
      <c r="D49" s="302">
        <f>+D42+D37</f>
        <v>155777.71103559929</v>
      </c>
      <c r="E49" s="302">
        <f t="shared" ref="E49:M49" si="6">+E42+E37</f>
        <v>138249.3505097442</v>
      </c>
      <c r="F49" s="302">
        <f t="shared" si="6"/>
        <v>111703.84476770989</v>
      </c>
      <c r="G49" s="302">
        <f t="shared" si="6"/>
        <v>88455.453086016263</v>
      </c>
      <c r="H49" s="302">
        <f t="shared" si="6"/>
        <v>75657.523275786589</v>
      </c>
      <c r="I49" s="302">
        <f t="shared" si="6"/>
        <v>55520.58899041223</v>
      </c>
      <c r="J49" s="302">
        <f t="shared" si="6"/>
        <v>62093.099821028038</v>
      </c>
      <c r="K49" s="302">
        <f t="shared" si="6"/>
        <v>35651.294643551424</v>
      </c>
      <c r="L49" s="302">
        <f t="shared" si="6"/>
        <v>69964.389501034108</v>
      </c>
      <c r="M49" s="302">
        <f t="shared" si="6"/>
        <v>80877.223433023901</v>
      </c>
      <c r="N49" s="157"/>
      <c r="O49" s="157"/>
    </row>
    <row r="50" spans="1:15" ht="12" thickTop="1">
      <c r="A50" s="108"/>
      <c r="B50" s="108"/>
      <c r="C50" s="215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157"/>
      <c r="O50" s="157"/>
    </row>
    <row r="51" spans="1:15" ht="12" thickBot="1">
      <c r="A51" s="549" t="s">
        <v>384</v>
      </c>
      <c r="B51" s="549"/>
      <c r="C51" s="36">
        <f>+C49+C33</f>
        <v>40790.121317185381</v>
      </c>
      <c r="D51" s="36">
        <f>+D49+D33</f>
        <v>35431.520755252117</v>
      </c>
      <c r="E51" s="36">
        <f t="shared" ref="E51:M51" si="7">+E49+E33</f>
        <v>-16982.977649318345</v>
      </c>
      <c r="F51" s="36">
        <f t="shared" si="7"/>
        <v>-73589.439771468271</v>
      </c>
      <c r="G51" s="36">
        <f t="shared" si="7"/>
        <v>-88872.425321268878</v>
      </c>
      <c r="H51" s="36">
        <f t="shared" si="7"/>
        <v>-58586.005334766189</v>
      </c>
      <c r="I51" s="36">
        <f t="shared" si="7"/>
        <v>-23758.449538033543</v>
      </c>
      <c r="J51" s="36">
        <f t="shared" si="7"/>
        <v>73527.500029912058</v>
      </c>
      <c r="K51" s="36">
        <f t="shared" si="7"/>
        <v>180895.77648061005</v>
      </c>
      <c r="L51" s="36">
        <f t="shared" si="7"/>
        <v>333716.34309707949</v>
      </c>
      <c r="M51" s="36">
        <f t="shared" si="7"/>
        <v>469096.92234715569</v>
      </c>
      <c r="N51" s="157"/>
      <c r="O51" s="157"/>
    </row>
    <row r="52" spans="1:15" ht="12" thickTop="1">
      <c r="C52" s="239"/>
      <c r="D52" s="239"/>
      <c r="E52" s="239"/>
      <c r="F52" s="239"/>
      <c r="G52" s="239"/>
      <c r="H52" s="239"/>
      <c r="I52" s="239"/>
      <c r="J52" s="239"/>
      <c r="K52" s="239"/>
      <c r="L52" s="239"/>
      <c r="M52" s="239"/>
    </row>
    <row r="53" spans="1:15" ht="11.25">
      <c r="C53" s="268">
        <f>+C23-C51</f>
        <v>-9424.6432910975418</v>
      </c>
      <c r="D53" s="268">
        <f>+D23-D51</f>
        <v>-9759.4682837712935</v>
      </c>
      <c r="E53" s="268">
        <f t="shared" ref="E53:M53" si="8">+E23-E51</f>
        <v>40353.929351637038</v>
      </c>
      <c r="F53" s="268">
        <f t="shared" si="8"/>
        <v>105361.27784814971</v>
      </c>
      <c r="G53" s="268">
        <f t="shared" si="8"/>
        <v>130912.50374623433</v>
      </c>
      <c r="H53" s="268">
        <f t="shared" si="8"/>
        <v>108560.98007353887</v>
      </c>
      <c r="I53" s="268">
        <f t="shared" si="8"/>
        <v>82047.609173694131</v>
      </c>
      <c r="J53" s="268">
        <f t="shared" si="8"/>
        <v>-7148.5217016141687</v>
      </c>
      <c r="K53" s="268">
        <f t="shared" si="8"/>
        <v>-108677.54948032422</v>
      </c>
      <c r="L53" s="268">
        <f t="shared" si="8"/>
        <v>-257685.51963397229</v>
      </c>
      <c r="M53" s="268">
        <f t="shared" si="8"/>
        <v>-389533.34509756567</v>
      </c>
    </row>
    <row r="54" spans="1:15" ht="11.25">
      <c r="C54" s="239"/>
      <c r="D54" s="241">
        <f>+D53-C53</f>
        <v>-334.82499267375169</v>
      </c>
      <c r="E54" s="241"/>
      <c r="F54" s="241"/>
      <c r="G54" s="241"/>
      <c r="H54" s="241"/>
      <c r="I54" s="241"/>
      <c r="J54" s="241">
        <f>+J53-D53</f>
        <v>2610.9465821571248</v>
      </c>
      <c r="K54" s="241">
        <f>+K53-J53</f>
        <v>-101529.02777871005</v>
      </c>
      <c r="L54" s="241">
        <f>+L53-K53</f>
        <v>-149007.97015364806</v>
      </c>
      <c r="M54" s="241">
        <f>+M53-L53</f>
        <v>-131847.82546359338</v>
      </c>
    </row>
    <row r="55" spans="1:15" ht="11.25">
      <c r="C55" s="239"/>
      <c r="D55" s="239"/>
      <c r="E55" s="239"/>
      <c r="F55" s="239"/>
      <c r="G55" s="239"/>
      <c r="H55" s="239"/>
      <c r="I55" s="239"/>
      <c r="J55" s="239"/>
      <c r="K55" s="239"/>
      <c r="L55" s="239"/>
      <c r="M55" s="239"/>
    </row>
    <row r="56" spans="1:15" ht="11.25">
      <c r="C56" s="239"/>
      <c r="D56" s="240"/>
      <c r="E56" s="240"/>
      <c r="F56" s="240"/>
      <c r="G56" s="240"/>
      <c r="H56" s="240"/>
      <c r="I56" s="240"/>
      <c r="J56" s="242"/>
      <c r="K56" s="242"/>
      <c r="L56" s="239"/>
      <c r="M56" s="239"/>
    </row>
    <row r="57" spans="1:15" ht="11.25">
      <c r="C57" s="234"/>
      <c r="D57" s="234"/>
      <c r="E57" s="234"/>
      <c r="F57" s="234"/>
      <c r="G57" s="234"/>
      <c r="H57" s="234"/>
      <c r="I57" s="234"/>
      <c r="J57" s="234"/>
      <c r="K57" s="234"/>
      <c r="L57" s="234"/>
      <c r="M57" s="234"/>
    </row>
    <row r="58" spans="1:15" ht="11.25">
      <c r="C58" s="234"/>
      <c r="D58" s="234"/>
      <c r="E58" s="234"/>
      <c r="F58" s="234"/>
      <c r="G58" s="234"/>
      <c r="H58" s="234"/>
      <c r="I58" s="234"/>
      <c r="J58" s="234"/>
      <c r="K58" s="234"/>
      <c r="L58" s="234"/>
      <c r="M58" s="234"/>
    </row>
    <row r="59" spans="1:15" ht="11.25">
      <c r="C59" s="234"/>
      <c r="D59" s="234"/>
      <c r="E59" s="234"/>
      <c r="F59" s="234"/>
      <c r="G59" s="234"/>
      <c r="H59" s="234"/>
      <c r="I59" s="234"/>
      <c r="J59" s="234"/>
      <c r="K59" s="234"/>
      <c r="L59" s="234"/>
      <c r="M59" s="234"/>
    </row>
  </sheetData>
  <sheetProtection password="8318" sheet="1"/>
  <mergeCells count="8">
    <mergeCell ref="A51:B51"/>
    <mergeCell ref="A33:B33"/>
    <mergeCell ref="A4:M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pageSetUpPr fitToPage="1"/>
  </sheetPr>
  <dimension ref="A1:L28"/>
  <sheetViews>
    <sheetView showGridLines="0" workbookViewId="0">
      <selection activeCell="H34" sqref="H34"/>
    </sheetView>
  </sheetViews>
  <sheetFormatPr defaultColWidth="8.85546875" defaultRowHeight="11.1"/>
  <cols>
    <col min="1" max="1" width="28.140625" style="63" bestFit="1" customWidth="1"/>
    <col min="2" max="12" width="9" style="63" customWidth="1"/>
    <col min="13" max="16" width="11.42578125" style="63" customWidth="1"/>
    <col min="17" max="16384" width="8.85546875" style="63"/>
  </cols>
  <sheetData>
    <row r="1" spans="1:12" ht="12.75">
      <c r="A1" s="54"/>
      <c r="B1" s="54"/>
      <c r="C1" s="51"/>
      <c r="D1" s="51"/>
      <c r="E1" s="51"/>
      <c r="F1" s="51"/>
      <c r="G1" s="51"/>
      <c r="H1" s="51"/>
      <c r="I1" s="51"/>
      <c r="J1" s="51"/>
      <c r="K1" s="48" t="str">
        <f>+VN!L1</f>
        <v>Empresa:</v>
      </c>
      <c r="L1" s="87" t="str">
        <f>+Pressupostos!E1</f>
        <v>DUQUESA</v>
      </c>
    </row>
    <row r="2" spans="1:12" ht="11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</row>
    <row r="3" spans="1:12" ht="11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</row>
    <row r="4" spans="1:12" ht="15.75">
      <c r="A4" s="526" t="s">
        <v>385</v>
      </c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</row>
    <row r="5" spans="1:12" ht="12" thickBot="1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</row>
    <row r="6" spans="1:12" ht="12" thickBot="1">
      <c r="A6" s="347" t="s">
        <v>386</v>
      </c>
      <c r="B6" s="348">
        <f>+VN!C8</f>
        <v>2020</v>
      </c>
      <c r="C6" s="348">
        <f>+VN!D8</f>
        <v>2021</v>
      </c>
      <c r="D6" s="348">
        <f>+VN!E8</f>
        <v>2022</v>
      </c>
      <c r="E6" s="348">
        <f>+VN!F8</f>
        <v>2023</v>
      </c>
      <c r="F6" s="348">
        <f>+VN!G8</f>
        <v>2024</v>
      </c>
      <c r="G6" s="348">
        <f>+VN!H8</f>
        <v>2025</v>
      </c>
      <c r="H6" s="348">
        <f>+VN!I8</f>
        <v>2026</v>
      </c>
      <c r="I6" s="348">
        <f>+VN!J8</f>
        <v>2027</v>
      </c>
      <c r="J6" s="348">
        <f>+VN!K8</f>
        <v>2028</v>
      </c>
      <c r="K6" s="348">
        <f>+VN!L8</f>
        <v>2029</v>
      </c>
      <c r="L6" s="348">
        <f>+VN!M8</f>
        <v>2030</v>
      </c>
    </row>
    <row r="7" spans="1:12" ht="11.25">
      <c r="A7" s="353" t="s">
        <v>387</v>
      </c>
      <c r="B7" s="186"/>
      <c r="C7" s="186">
        <f>+(DR!C8/DR!B8)-1</f>
        <v>0.79547879616963058</v>
      </c>
      <c r="D7" s="186">
        <f>+(DR!D8/DR!C8)-1</f>
        <v>0.85800347988627257</v>
      </c>
      <c r="E7" s="186">
        <f>+(DR!E8/DR!D8)-1</f>
        <v>0.62303923395354177</v>
      </c>
      <c r="F7" s="186">
        <f>+(DR!F8/DR!E8)-1</f>
        <v>0.48204824157863979</v>
      </c>
      <c r="G7" s="186">
        <f>+(DR!G8/DR!F8)-1</f>
        <v>0.36420978997493925</v>
      </c>
      <c r="H7" s="186">
        <f>+(DR!H8/DR!G8)-1</f>
        <v>0.2817160845515041</v>
      </c>
      <c r="I7" s="186">
        <f>+(DR!I8/DR!H8)-1</f>
        <v>0.21287466157779722</v>
      </c>
      <c r="J7" s="186">
        <f>+(DR!J8/DR!I8)-1</f>
        <v>0.1205432375117963</v>
      </c>
      <c r="K7" s="186">
        <f>+(DR!K8/DR!J8)-1</f>
        <v>6.3929838173587328E-2</v>
      </c>
      <c r="L7" s="186">
        <f>+(DR!L8/DR!K8)-1</f>
        <v>5.4495422458414211E-2</v>
      </c>
    </row>
    <row r="8" spans="1:12" ht="12" thickBot="1">
      <c r="A8" s="353" t="s">
        <v>388</v>
      </c>
      <c r="B8" s="349">
        <f>DR!B31/DR!B8</f>
        <v>-2.9060533943520612</v>
      </c>
      <c r="C8" s="349">
        <f>DR!C31/DR!C8</f>
        <v>-1.4378833022146489</v>
      </c>
      <c r="D8" s="349">
        <f>DR!D31/DR!D8</f>
        <v>-0.47685622621635149</v>
      </c>
      <c r="E8" s="349">
        <f>DR!E31/DR!E8</f>
        <v>-0.25316772547513172</v>
      </c>
      <c r="F8" s="349">
        <f>DR!F31/DR!F8</f>
        <v>4.5263812387686522E-2</v>
      </c>
      <c r="G8" s="349">
        <f>DR!G31/DR!G8</f>
        <v>0.17946575376793009</v>
      </c>
      <c r="H8" s="349">
        <f>DR!H31/DR!H8</f>
        <v>0.17862918345561735</v>
      </c>
      <c r="I8" s="349">
        <f>DR!I31/DR!I8</f>
        <v>0.24306695300336842</v>
      </c>
      <c r="J8" s="349">
        <f>DR!J31/DR!J8</f>
        <v>0.31997386201389855</v>
      </c>
      <c r="K8" s="349">
        <f>DR!K31/DR!K8</f>
        <v>0.26635350219732912</v>
      </c>
      <c r="L8" s="349">
        <f>DR!L31/DR!L8</f>
        <v>0.26529239613404304</v>
      </c>
    </row>
    <row r="9" spans="1:12" ht="12" thickBot="1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</row>
    <row r="10" spans="1:12" ht="12" thickBot="1">
      <c r="A10" s="347" t="s">
        <v>389</v>
      </c>
      <c r="B10" s="348">
        <f>+B6</f>
        <v>2020</v>
      </c>
      <c r="C10" s="348">
        <f>+C6</f>
        <v>2021</v>
      </c>
      <c r="D10" s="348">
        <f t="shared" ref="D10:L10" si="0">+D6</f>
        <v>2022</v>
      </c>
      <c r="E10" s="348">
        <f t="shared" si="0"/>
        <v>2023</v>
      </c>
      <c r="F10" s="348">
        <f t="shared" si="0"/>
        <v>2024</v>
      </c>
      <c r="G10" s="348">
        <f t="shared" si="0"/>
        <v>2025</v>
      </c>
      <c r="H10" s="348">
        <f t="shared" si="0"/>
        <v>2026</v>
      </c>
      <c r="I10" s="348">
        <f t="shared" si="0"/>
        <v>2027</v>
      </c>
      <c r="J10" s="348">
        <f t="shared" si="0"/>
        <v>2028</v>
      </c>
      <c r="K10" s="348">
        <f t="shared" si="0"/>
        <v>2029</v>
      </c>
      <c r="L10" s="348">
        <f t="shared" si="0"/>
        <v>2030</v>
      </c>
    </row>
    <row r="11" spans="1:12" ht="11.25">
      <c r="A11" s="353" t="s">
        <v>390</v>
      </c>
      <c r="B11" s="186">
        <f>DR!B31/Balanço!C23</f>
        <v>-2.0318437641898615</v>
      </c>
      <c r="C11" s="186">
        <f>DR!C31/Balanço!D23</f>
        <v>-2.2053725312809278</v>
      </c>
      <c r="D11" s="186">
        <f>DR!D31/Balanço!E23</f>
        <v>-1.4927136183013987</v>
      </c>
      <c r="E11" s="186">
        <f>DR!E31/Balanço!F23</f>
        <v>-0.94615100037849253</v>
      </c>
      <c r="F11" s="186">
        <f>DR!F31/Balanço!G23</f>
        <v>0.18947172389580433</v>
      </c>
      <c r="G11" s="186">
        <f>DR!G31/Balanço!H23</f>
        <v>0.8621184907434426</v>
      </c>
      <c r="H11" s="186">
        <f>DR!H31/Balanço!I23</f>
        <v>0.94296247236476549</v>
      </c>
      <c r="I11" s="186">
        <f>DR!I31/Balanço!J23</f>
        <v>1.3665988995594096</v>
      </c>
      <c r="J11" s="186">
        <f>DR!J31/Balanço!K23</f>
        <v>1.8528574736076666</v>
      </c>
      <c r="K11" s="186">
        <f>DR!K31/Balanço!L23</f>
        <v>1.5586766834965389</v>
      </c>
      <c r="L11" s="186">
        <f>DR!L31/Balanço!M23</f>
        <v>1.5643809594889444</v>
      </c>
    </row>
    <row r="12" spans="1:12" ht="11.25">
      <c r="A12" s="353" t="s">
        <v>391</v>
      </c>
      <c r="B12" s="186">
        <f>+DR!B26/Balanço!C23</f>
        <v>-1.7757660473663053</v>
      </c>
      <c r="C12" s="186">
        <f>+DR!C26/Balanço!D23</f>
        <v>-1.7556227493799097</v>
      </c>
      <c r="D12" s="186">
        <f>+DR!D26/Balanço!E23</f>
        <v>-0.99868153321286157</v>
      </c>
      <c r="E12" s="186">
        <f>+DR!E26/Balanço!F23</f>
        <v>-0.6333079103435143</v>
      </c>
      <c r="F12" s="186">
        <f>+DR!F26/Balanço!G23</f>
        <v>0.43413195676515159</v>
      </c>
      <c r="G12" s="186">
        <f>+DR!G26/Balanço!H23</f>
        <v>1.2559686134324191</v>
      </c>
      <c r="H12" s="186">
        <f>+DR!H26/Balanço!I23</f>
        <v>1.3089567125868204</v>
      </c>
      <c r="I12" s="186">
        <f>+DR!I26/Balanço!J23</f>
        <v>1.8327195554004325</v>
      </c>
      <c r="J12" s="186">
        <f>+DR!J26/Balanço!K23</f>
        <v>1.8528574736076666</v>
      </c>
      <c r="K12" s="186">
        <f>+DR!K26/Balanço!L23</f>
        <v>1.9843164473273571</v>
      </c>
      <c r="L12" s="186">
        <f>+DR!L26/Balanço!M23</f>
        <v>2.0858412793185925</v>
      </c>
    </row>
    <row r="13" spans="1:12" ht="11.25">
      <c r="A13" s="353" t="s">
        <v>392</v>
      </c>
      <c r="B13" s="186">
        <f>DR!B8/Balanço!C23</f>
        <v>0.69917633589897787</v>
      </c>
      <c r="C13" s="186">
        <f>DR!C8/Balanço!D23</f>
        <v>1.5337632253494988</v>
      </c>
      <c r="D13" s="186">
        <f>DR!D8/Balanço!E23</f>
        <v>3.1303221730906974</v>
      </c>
      <c r="E13" s="186">
        <f>DR!E8/Balanço!F23</f>
        <v>3.7372496774729349</v>
      </c>
      <c r="F13" s="186">
        <f>DR!F8/Balanço!G23</f>
        <v>4.1859426747568396</v>
      </c>
      <c r="G13" s="186">
        <f>DR!G8/Balanço!H23</f>
        <v>4.8038050304475428</v>
      </c>
      <c r="H13" s="186">
        <f>DR!H8/Balanço!I23</f>
        <v>5.2788825102537427</v>
      </c>
      <c r="I13" s="186">
        <f>DR!I8/Balanço!J23</f>
        <v>5.6223146860300304</v>
      </c>
      <c r="J13" s="186">
        <f>DR!J8/Balanço!K23</f>
        <v>5.7906525925145251</v>
      </c>
      <c r="K13" s="186">
        <f>DR!K8/Balanço!L23</f>
        <v>5.8519098515242591</v>
      </c>
      <c r="L13" s="186">
        <f>DR!L8/Balanço!M23</f>
        <v>5.8968179347986922</v>
      </c>
    </row>
    <row r="14" spans="1:12" ht="12" thickBot="1">
      <c r="A14" s="353" t="s">
        <v>393</v>
      </c>
      <c r="B14" s="349">
        <f>+DR!B31/Balanço!C33</f>
        <v>1</v>
      </c>
      <c r="C14" s="349">
        <f>+DR!C31/Balanço!D33</f>
        <v>0.4704464612491524</v>
      </c>
      <c r="D14" s="349">
        <f>+DR!D31/Balanço!E33</f>
        <v>0.22473500392887527</v>
      </c>
      <c r="E14" s="349">
        <f>+DR!E31/Balanço!F33</f>
        <v>0.16223446227356161</v>
      </c>
      <c r="F14" s="349">
        <f>+DR!F31/Balanço!G33</f>
        <v>-4.4919085501029556E-2</v>
      </c>
      <c r="G14" s="349">
        <f>+DR!G31/Balanço!H33</f>
        <v>-0.32094172614996019</v>
      </c>
      <c r="H14" s="349">
        <f>+DR!H31/Balanço!I33</f>
        <v>-0.6933041961953843</v>
      </c>
      <c r="I14" s="349">
        <f>+DR!I31/Balanço!J33</f>
        <v>7.9333797208575474</v>
      </c>
      <c r="J14" s="349">
        <f>+DR!J31/Balanço!K33</f>
        <v>0.92127480463105216</v>
      </c>
      <c r="K14" s="349">
        <f>+DR!K31/Balanço!L33</f>
        <v>0.44931410040089886</v>
      </c>
      <c r="L14" s="349">
        <f>+DR!L31/Balanço!M33</f>
        <v>0.32061161673719391</v>
      </c>
    </row>
    <row r="15" spans="1:12" ht="12" thickBot="1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</row>
    <row r="16" spans="1:12" ht="12" thickBot="1">
      <c r="A16" s="347" t="s">
        <v>394</v>
      </c>
      <c r="B16" s="351">
        <f>+B6</f>
        <v>2020</v>
      </c>
      <c r="C16" s="351">
        <f>+C6</f>
        <v>2021</v>
      </c>
      <c r="D16" s="351">
        <f t="shared" ref="D16:L16" si="1">+D6</f>
        <v>2022</v>
      </c>
      <c r="E16" s="351">
        <f t="shared" si="1"/>
        <v>2023</v>
      </c>
      <c r="F16" s="351">
        <f t="shared" si="1"/>
        <v>2024</v>
      </c>
      <c r="G16" s="351">
        <f t="shared" si="1"/>
        <v>2025</v>
      </c>
      <c r="H16" s="351">
        <f t="shared" si="1"/>
        <v>2026</v>
      </c>
      <c r="I16" s="351">
        <f t="shared" si="1"/>
        <v>2027</v>
      </c>
      <c r="J16" s="351">
        <f t="shared" si="1"/>
        <v>2028</v>
      </c>
      <c r="K16" s="351">
        <f t="shared" si="1"/>
        <v>2029</v>
      </c>
      <c r="L16" s="351">
        <f t="shared" si="1"/>
        <v>2030</v>
      </c>
    </row>
    <row r="17" spans="1:12" ht="11.25">
      <c r="A17" s="353" t="s">
        <v>395</v>
      </c>
      <c r="B17" s="186">
        <f>Balanço!C33/Balanço!C23</f>
        <v>-2.0318437641898615</v>
      </c>
      <c r="C17" s="186">
        <f>Balanço!D33/Balanço!D23</f>
        <v>-4.6878289304698253</v>
      </c>
      <c r="D17" s="186">
        <f>Balanço!E33/Balanço!E23</f>
        <v>-6.6421055563458937</v>
      </c>
      <c r="E17" s="186">
        <f>Balanço!F33/Balanço!F23</f>
        <v>-5.8319976355152079</v>
      </c>
      <c r="F17" s="186">
        <f>Balanço!G33/Balanço!G23</f>
        <v>-4.2180672598835871</v>
      </c>
      <c r="G17" s="186">
        <f>Balanço!H33/Balanço!H23</f>
        <v>-2.6862150368712641</v>
      </c>
      <c r="H17" s="186">
        <f>Balanço!I33/Balanço!I23</f>
        <v>-1.3600991852341586</v>
      </c>
      <c r="I17" s="186">
        <f>Balanço!J33/Balanço!J23</f>
        <v>0.17225935826146099</v>
      </c>
      <c r="J17" s="186">
        <f>Balanço!K33/Balanço!K23</f>
        <v>2.011188696677416</v>
      </c>
      <c r="K17" s="186">
        <f>Balanço!L33/Balanço!L23</f>
        <v>3.4690135077127899</v>
      </c>
      <c r="L17" s="186">
        <f>Balanço!M33/Balanço!M23</f>
        <v>4.8793645576831084</v>
      </c>
    </row>
    <row r="18" spans="1:12" ht="11.25">
      <c r="A18" s="353" t="s">
        <v>396</v>
      </c>
      <c r="B18" s="186">
        <f>Balanço!C23/Balanço!C49</f>
        <v>0.30009104823116095</v>
      </c>
      <c r="C18" s="186">
        <f>Balanço!D23/Balanço!D49</f>
        <v>0.16479926621603835</v>
      </c>
      <c r="D18" s="186">
        <f>Balanço!E23/Balanço!E49</f>
        <v>0.16904926942619847</v>
      </c>
      <c r="E18" s="186">
        <f>Balanço!F23/Balanço!F49</f>
        <v>0.28442922571511775</v>
      </c>
      <c r="F18" s="186">
        <f>Balanço!G23/Balanço!G49</f>
        <v>0.47526836343356521</v>
      </c>
      <c r="G18" s="186">
        <f>Balanço!H23/Balanço!H49</f>
        <v>0.66054203964097602</v>
      </c>
      <c r="H18" s="186">
        <f>Balanço!I23/Balanço!I49</f>
        <v>1.0498656569678404</v>
      </c>
      <c r="I18" s="186">
        <f>Balanço!J23/Balanço!J49</f>
        <v>1.0690234264293956</v>
      </c>
      <c r="J18" s="186">
        <f>Balanço!K23/Balanço!K49</f>
        <v>2.0256831546326075</v>
      </c>
      <c r="K18" s="186">
        <f>Balanço!L23/Balanço!L49</f>
        <v>1.0867074522530269</v>
      </c>
      <c r="L18" s="186">
        <f>Balanço!M23/Balanço!M49</f>
        <v>0.98375752619003154</v>
      </c>
    </row>
    <row r="19" spans="1:12" ht="12" thickBot="1">
      <c r="A19" s="353" t="s">
        <v>397</v>
      </c>
      <c r="B19" s="352">
        <f>+DR!B26/DR!B28</f>
        <v>-6.9344809434936137</v>
      </c>
      <c r="C19" s="352">
        <f>+DR!C26/DR!C28</f>
        <v>-3.9035544207696575</v>
      </c>
      <c r="D19" s="352">
        <f>+DR!D26/DR!D28</f>
        <v>-2.0214912418773059</v>
      </c>
      <c r="E19" s="352">
        <f>+DR!E26/DR!E28</f>
        <v>-2.0243627892586842</v>
      </c>
      <c r="F19" s="352">
        <f>+DR!F26/DR!F28</f>
        <v>2.3918721835278212</v>
      </c>
      <c r="G19" s="352">
        <f>+DR!G26/DR!G28</f>
        <v>11.795647547353322</v>
      </c>
      <c r="H19" s="352">
        <f>+DR!H26/DR!H28</f>
        <v>25.331336911069943</v>
      </c>
      <c r="I19" s="352">
        <f>+DR!I26/DR!I28</f>
        <v>173.09910593308629</v>
      </c>
      <c r="J19" s="352" t="e">
        <f>+DR!J26/DR!J28</f>
        <v>#DIV/0!</v>
      </c>
      <c r="K19" s="352" t="e">
        <f>+DR!K26/DR!K28</f>
        <v>#DIV/0!</v>
      </c>
      <c r="L19" s="352" t="e">
        <f>+DR!L26/DR!L28</f>
        <v>#DIV/0!</v>
      </c>
    </row>
    <row r="20" spans="1:12" ht="12" thickBot="1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</row>
    <row r="21" spans="1:12" ht="12" thickBot="1">
      <c r="A21" s="347" t="s">
        <v>398</v>
      </c>
      <c r="B21" s="348">
        <f>+B6</f>
        <v>2020</v>
      </c>
      <c r="C21" s="348">
        <f>+C6</f>
        <v>2021</v>
      </c>
      <c r="D21" s="348">
        <f t="shared" ref="D21:L21" si="2">+D6</f>
        <v>2022</v>
      </c>
      <c r="E21" s="348">
        <f t="shared" si="2"/>
        <v>2023</v>
      </c>
      <c r="F21" s="348">
        <f t="shared" si="2"/>
        <v>2024</v>
      </c>
      <c r="G21" s="348">
        <f t="shared" si="2"/>
        <v>2025</v>
      </c>
      <c r="H21" s="348">
        <f t="shared" si="2"/>
        <v>2026</v>
      </c>
      <c r="I21" s="348">
        <f t="shared" si="2"/>
        <v>2027</v>
      </c>
      <c r="J21" s="348">
        <f t="shared" si="2"/>
        <v>2028</v>
      </c>
      <c r="K21" s="348">
        <f t="shared" si="2"/>
        <v>2029</v>
      </c>
      <c r="L21" s="348">
        <f t="shared" si="2"/>
        <v>2030</v>
      </c>
    </row>
    <row r="22" spans="1:12" ht="11.25">
      <c r="A22" s="353" t="s">
        <v>399</v>
      </c>
      <c r="B22" s="346">
        <f>Balanço!C15/Balanço!C42</f>
        <v>1.4007948311578391</v>
      </c>
      <c r="C22" s="346">
        <f>Balanço!D15/Balanço!D42</f>
        <v>1.1346870351286353</v>
      </c>
      <c r="D22" s="346">
        <f>Balanço!E15/Balanço!E42</f>
        <v>1.2666086487629078</v>
      </c>
      <c r="E22" s="346">
        <f>Balanço!F15/Balanço!F42</f>
        <v>1.3383479008450994</v>
      </c>
      <c r="F22" s="346">
        <f>Balanço!G15/Balanço!G42</f>
        <v>1.2035836953683923</v>
      </c>
      <c r="G22" s="346">
        <f>Balanço!H15/Balanço!H42</f>
        <v>0.82850731135422617</v>
      </c>
      <c r="H22" s="346">
        <f>Balanço!I15/Balanço!I42</f>
        <v>0.81795830109981627</v>
      </c>
      <c r="I22" s="346">
        <f>Balanço!J15/Balanço!J42</f>
        <v>0.7193331055630714</v>
      </c>
      <c r="J22" s="346">
        <f>Balanço!K15/Balanço!K42</f>
        <v>1.3951977012598109</v>
      </c>
      <c r="K22" s="346">
        <f>Balanço!L15/Balanço!L42</f>
        <v>0.75400568545413349</v>
      </c>
      <c r="L22" s="346">
        <f>Balanço!M15/Balanço!M42</f>
        <v>0.6860602473848072</v>
      </c>
    </row>
    <row r="23" spans="1:12" ht="12" thickBot="1">
      <c r="A23" s="353" t="s">
        <v>400</v>
      </c>
      <c r="B23" s="350">
        <f>(Balanço!C17+Balanço!C18+Balanço!C19+Balanço!C20+Balanço!C21+Balanço!C22)/Balanço!C42</f>
        <v>1.3372653875311109</v>
      </c>
      <c r="C23" s="350">
        <f>(Balanço!D17+Balanço!D18+Balanço!D19+Balanço!D20+Balanço!D21+Balanço!D22)/Balanço!D42</f>
        <v>1.0446908971060933</v>
      </c>
      <c r="D23" s="350">
        <f>(Balanço!E17+Balanço!E18+Balanço!E19+Balanço!E20+Balanço!E21+Balanço!E22)/Balanço!E42</f>
        <v>1.151455177177888</v>
      </c>
      <c r="E23" s="350">
        <f>(Balanço!F17+Balanço!F18+Balanço!F19+Balanço!F20+Balanço!F21+Balanço!F22)/Balanço!F42</f>
        <v>1.2107796771696948</v>
      </c>
      <c r="F23" s="350">
        <f>(Balanço!G17+Balanço!G18+Balanço!G19+Balanço!G20+Balanço!G21+Balanço!G22)/Balanço!G42</f>
        <v>1.0857321754904132</v>
      </c>
      <c r="G23" s="350">
        <f>(Balanço!H17+Balanço!H18+Balanço!H19+Balanço!H20+Balanço!H21+Balanço!H22)/Balanço!H42</f>
        <v>0.74618695153021897</v>
      </c>
      <c r="H23" s="350">
        <f>(Balanço!I17+Balanço!I18+Balanço!I19+Balanço!I20+Balanço!I21+Balanço!I22)/Balanço!I42</f>
        <v>0.73679663073377932</v>
      </c>
      <c r="I23" s="350">
        <f>(Balanço!J17+Balanço!J18+Balanço!J19+Balanço!J20+Balanço!J21+Balanço!J22)/Balanço!J42</f>
        <v>0.64827427439853869</v>
      </c>
      <c r="J23" s="350">
        <f>(Balanço!K17+Balanço!K18+Balanço!K19+Balanço!K20+Balanço!K21+Balanço!K22)/Balanço!K42</f>
        <v>1.2584267541383898</v>
      </c>
      <c r="K23" s="350">
        <f>(Balanço!L17+Balanço!L18+Balanço!L19+Balanço!L20+Balanço!L21+Balanço!L22)/Balanço!L42</f>
        <v>0.68041566053728519</v>
      </c>
      <c r="L23" s="350">
        <f>(Balanço!M17+Balanço!M18+Balanço!M19+Balanço!M20+Balanço!M21+Balanço!M22)/Balanço!M42</f>
        <v>0.61933534096776144</v>
      </c>
    </row>
    <row r="24" spans="1:12" ht="12" thickBot="1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</row>
    <row r="25" spans="1:12" ht="12" thickBot="1">
      <c r="A25" s="347" t="s">
        <v>401</v>
      </c>
      <c r="B25" s="348">
        <f>+B6</f>
        <v>2020</v>
      </c>
      <c r="C25" s="348">
        <f>+C6</f>
        <v>2021</v>
      </c>
      <c r="D25" s="348">
        <f t="shared" ref="D25:L25" si="3">+D6</f>
        <v>2022</v>
      </c>
      <c r="E25" s="348">
        <f t="shared" si="3"/>
        <v>2023</v>
      </c>
      <c r="F25" s="348">
        <f t="shared" si="3"/>
        <v>2024</v>
      </c>
      <c r="G25" s="348">
        <f t="shared" si="3"/>
        <v>2025</v>
      </c>
      <c r="H25" s="348">
        <f t="shared" si="3"/>
        <v>2026</v>
      </c>
      <c r="I25" s="348">
        <f t="shared" si="3"/>
        <v>2027</v>
      </c>
      <c r="J25" s="348">
        <f t="shared" si="3"/>
        <v>2028</v>
      </c>
      <c r="K25" s="348">
        <f t="shared" si="3"/>
        <v>2029</v>
      </c>
      <c r="L25" s="348">
        <f t="shared" si="3"/>
        <v>2030</v>
      </c>
    </row>
    <row r="26" spans="1:12" ht="11.25">
      <c r="A26" s="353" t="s">
        <v>118</v>
      </c>
      <c r="B26" s="226">
        <f>DR!B8-DR!B11-DR!B13-DR!B14</f>
        <v>-14763.095271474042</v>
      </c>
      <c r="C26" s="226">
        <f>DR!C8-DR!C11-DR!C13-DR!C14</f>
        <v>-3248.7886755398067</v>
      </c>
      <c r="D26" s="226">
        <f>DR!D8-DR!D11-DR!D13-DR!D14</f>
        <v>19376.654387951301</v>
      </c>
      <c r="E26" s="226">
        <f>DR!E8-DR!E11-DR!E13-DR!E14</f>
        <v>51780.967953217718</v>
      </c>
      <c r="F26" s="226">
        <f>DR!F8-DR!F11-DR!F13-DR!F14</f>
        <v>92131.832509190688</v>
      </c>
      <c r="G26" s="226">
        <f>DR!G8-DR!G11-DR!G13-DR!G14</f>
        <v>137431.26792897651</v>
      </c>
      <c r="H26" s="226">
        <f>DR!H8-DR!H11-DR!H13-DR!H14</f>
        <v>186271.86677614268</v>
      </c>
      <c r="I26" s="226">
        <f>DR!I8-DR!I11-DR!I13-DR!I14</f>
        <v>233682.27164977306</v>
      </c>
      <c r="J26" s="226">
        <f>DR!J8-DR!J11-DR!J13-DR!J14</f>
        <v>266931.50346150791</v>
      </c>
      <c r="K26" s="226">
        <f>DR!K8-DR!K11-DR!K13-DR!K14</f>
        <v>286480.65204751969</v>
      </c>
      <c r="L26" s="226">
        <f>DR!L8-DR!L11-DR!L13-DR!L14</f>
        <v>304089.63528244855</v>
      </c>
    </row>
    <row r="27" spans="1:12" ht="11.25">
      <c r="A27" s="353" t="s">
        <v>402</v>
      </c>
      <c r="B27" s="186">
        <f>+B26/DR!B26</f>
        <v>0.26505729626085439</v>
      </c>
      <c r="C27" s="186">
        <f>+C26/DR!C26</f>
        <v>7.2082471858610442E-2</v>
      </c>
      <c r="D27" s="186">
        <f>+D26/DR!D26</f>
        <v>-0.83018594357240272</v>
      </c>
      <c r="E27" s="186">
        <f>+E26/DR!E26</f>
        <v>-2.5734332703529295</v>
      </c>
      <c r="F27" s="186">
        <f>+F26/DR!F26</f>
        <v>5.0480591624709099</v>
      </c>
      <c r="G27" s="186">
        <f>+G26/DR!G26</f>
        <v>2.1895465534818466</v>
      </c>
      <c r="H27" s="186">
        <f>+H26/DR!H26</f>
        <v>2.4413732871178104</v>
      </c>
      <c r="I27" s="186">
        <f>+I26/DR!I26</f>
        <v>1.920875371438638</v>
      </c>
      <c r="J27" s="186">
        <f>+J26/DR!J26</f>
        <v>1.9948534535928699</v>
      </c>
      <c r="K27" s="186">
        <f>+K26/DR!K26</f>
        <v>1.8988675383020905</v>
      </c>
      <c r="L27" s="186">
        <f>+L26/DR!L26</f>
        <v>1.8323399839773262</v>
      </c>
    </row>
    <row r="28" spans="1:12" ht="12" thickBot="1">
      <c r="A28" s="353" t="s">
        <v>403</v>
      </c>
      <c r="B28" s="349">
        <f>+DR!B26/DR!B29</f>
        <v>0.87396781123785872</v>
      </c>
      <c r="C28" s="349">
        <f>+DR!C26/DR!C29</f>
        <v>0.79606629922075156</v>
      </c>
      <c r="D28" s="349">
        <f>+DR!D26/DR!D29</f>
        <v>0.66903759768018312</v>
      </c>
      <c r="E28" s="349">
        <f>+DR!E26/DR!E29</f>
        <v>0.66935183716993341</v>
      </c>
      <c r="F28" s="349">
        <f>+DR!F26/DR!F29</f>
        <v>1.718456774863776</v>
      </c>
      <c r="G28" s="349">
        <f>+DR!G26/DR!G29</f>
        <v>1.0926299229030649</v>
      </c>
      <c r="H28" s="349">
        <f>+DR!H26/DR!H29</f>
        <v>1.0410992623896895</v>
      </c>
      <c r="I28" s="349">
        <f>+DR!I26/DR!I29</f>
        <v>1.0058106054332949</v>
      </c>
      <c r="J28" s="349">
        <f>+DR!J26/DR!J29</f>
        <v>1</v>
      </c>
      <c r="K28" s="349">
        <f>+DR!K26/DR!K29</f>
        <v>1</v>
      </c>
      <c r="L28" s="349">
        <f>+DR!L26/DR!L29</f>
        <v>1</v>
      </c>
    </row>
  </sheetData>
  <sheetProtection password="8318" sheet="1"/>
  <mergeCells count="1">
    <mergeCell ref="A4:L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S82"/>
  <sheetViews>
    <sheetView showGridLines="0" tabSelected="1" topLeftCell="A7" zoomScale="120" zoomScaleNormal="120" workbookViewId="0">
      <selection activeCell="C18" sqref="C18"/>
    </sheetView>
  </sheetViews>
  <sheetFormatPr defaultColWidth="8.85546875" defaultRowHeight="11.1"/>
  <cols>
    <col min="1" max="1" width="34.5703125" style="63" customWidth="1"/>
    <col min="2" max="2" width="3.85546875" style="63" customWidth="1"/>
    <col min="3" max="13" width="7.5703125" style="63" customWidth="1"/>
    <col min="14" max="14" width="8.85546875" style="63" customWidth="1"/>
    <col min="15" max="15" width="11.85546875" style="63" customWidth="1"/>
    <col min="16" max="17" width="8.85546875" style="63" customWidth="1"/>
    <col min="18" max="18" width="8.140625" style="63" customWidth="1"/>
    <col min="19" max="19" width="13.140625" style="63" customWidth="1"/>
    <col min="20" max="16384" width="8.85546875" style="63"/>
  </cols>
  <sheetData>
    <row r="1" spans="1:18" ht="12.75">
      <c r="A1" s="54"/>
      <c r="B1" s="54"/>
      <c r="C1" s="51"/>
      <c r="D1" s="51"/>
      <c r="E1" s="51"/>
      <c r="F1" s="51"/>
      <c r="G1" s="51"/>
      <c r="H1" s="51"/>
      <c r="I1" s="51"/>
      <c r="J1" s="51"/>
      <c r="K1" s="51"/>
      <c r="L1" s="48" t="str">
        <f>+VN!L1</f>
        <v>Empresa:</v>
      </c>
      <c r="M1" s="49" t="str">
        <f>+Pressupostos!E1</f>
        <v>DUQUESA</v>
      </c>
      <c r="N1" s="243"/>
    </row>
    <row r="2" spans="1:18" ht="11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</row>
    <row r="3" spans="1:18" ht="11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</row>
    <row r="4" spans="1:18" ht="11.25">
      <c r="A4" s="583" t="s">
        <v>404</v>
      </c>
      <c r="B4" s="583"/>
      <c r="C4" s="583"/>
      <c r="D4" s="583"/>
      <c r="E4" s="583"/>
      <c r="F4" s="583"/>
      <c r="G4" s="583"/>
      <c r="H4" s="583"/>
      <c r="I4" s="583"/>
      <c r="J4" s="583"/>
      <c r="K4" s="583"/>
      <c r="L4" s="583"/>
      <c r="M4" s="583"/>
    </row>
    <row r="5" spans="1:18" ht="11.2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</row>
    <row r="6" spans="1:18" ht="11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18" ht="12">
      <c r="A7" s="589" t="s">
        <v>405</v>
      </c>
      <c r="B7" s="590"/>
      <c r="C7" s="493">
        <f t="shared" ref="C7:M7" si="0">+C27</f>
        <v>2020</v>
      </c>
      <c r="D7" s="493">
        <f t="shared" si="0"/>
        <v>2021</v>
      </c>
      <c r="E7" s="493">
        <f t="shared" si="0"/>
        <v>2022</v>
      </c>
      <c r="F7" s="493">
        <f t="shared" si="0"/>
        <v>2023</v>
      </c>
      <c r="G7" s="493">
        <f t="shared" si="0"/>
        <v>2024</v>
      </c>
      <c r="H7" s="493">
        <f t="shared" si="0"/>
        <v>2025</v>
      </c>
      <c r="I7" s="493">
        <f t="shared" si="0"/>
        <v>2026</v>
      </c>
      <c r="J7" s="493">
        <f t="shared" si="0"/>
        <v>2027</v>
      </c>
      <c r="K7" s="493">
        <f t="shared" si="0"/>
        <v>2028</v>
      </c>
      <c r="L7" s="493">
        <f t="shared" si="0"/>
        <v>2029</v>
      </c>
      <c r="M7" s="493">
        <f t="shared" si="0"/>
        <v>2030</v>
      </c>
      <c r="O7" s="373"/>
      <c r="P7" s="373" t="s">
        <v>187</v>
      </c>
      <c r="Q7" s="373" t="s">
        <v>406</v>
      </c>
      <c r="R7" s="373"/>
    </row>
    <row r="8" spans="1:18" ht="11.25">
      <c r="A8" s="139"/>
      <c r="B8" s="139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593" t="s">
        <v>407</v>
      </c>
      <c r="O8" s="373" t="s">
        <v>408</v>
      </c>
      <c r="P8" s="374">
        <f>+C14</f>
        <v>-68618.918974367291</v>
      </c>
      <c r="Q8" s="374">
        <f>+P8</f>
        <v>-68618.918974367291</v>
      </c>
      <c r="R8" s="375" t="b">
        <f t="shared" ref="R8:R13" si="1">IF(Q8&gt;0,Q8/P8*12)</f>
        <v>0</v>
      </c>
    </row>
    <row r="9" spans="1:18" ht="11.25">
      <c r="A9" s="64" t="s">
        <v>74</v>
      </c>
      <c r="B9" s="496"/>
      <c r="C9" s="245">
        <f>+C29</f>
        <v>-68618.918974367291</v>
      </c>
      <c r="D9" s="245">
        <f>+D29</f>
        <v>-26851.56517177463</v>
      </c>
      <c r="E9" s="245">
        <f>+E29</f>
        <v>-12732.363165729499</v>
      </c>
      <c r="F9" s="245">
        <f t="shared" ref="F9:L9" si="2">+F29</f>
        <v>-20037.409401483754</v>
      </c>
      <c r="G9" s="245">
        <f t="shared" si="2"/>
        <v>7516.4387246176939</v>
      </c>
      <c r="H9" s="245">
        <f t="shared" si="2"/>
        <v>44636.109117749009</v>
      </c>
      <c r="I9" s="245">
        <f t="shared" si="2"/>
        <v>54812.324138053198</v>
      </c>
      <c r="J9" s="245">
        <f t="shared" si="2"/>
        <v>87806.914656900713</v>
      </c>
      <c r="K9" s="245">
        <f t="shared" si="2"/>
        <v>98314.32028410965</v>
      </c>
      <c r="L9" s="245">
        <f t="shared" si="2"/>
        <v>111290.66677822646</v>
      </c>
      <c r="M9" s="401">
        <f>+R20</f>
        <v>18572.781400309312</v>
      </c>
      <c r="N9" s="593"/>
      <c r="O9" s="373" t="s">
        <v>409</v>
      </c>
      <c r="P9" s="374">
        <f>+D14</f>
        <v>-24878.915927855003</v>
      </c>
      <c r="Q9" s="374">
        <f>+Q8+P9</f>
        <v>-93497.834902222297</v>
      </c>
      <c r="R9" s="376" t="b">
        <f t="shared" si="1"/>
        <v>0</v>
      </c>
    </row>
    <row r="10" spans="1:18" ht="11.25">
      <c r="A10" s="246"/>
      <c r="B10" s="5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593"/>
      <c r="O10" s="373" t="s">
        <v>410</v>
      </c>
      <c r="P10" s="374">
        <f>+E14</f>
        <v>-10927.350346016834</v>
      </c>
      <c r="Q10" s="374">
        <f>+Q9+P10</f>
        <v>-104425.18524823913</v>
      </c>
      <c r="R10" s="376" t="b">
        <f t="shared" si="1"/>
        <v>0</v>
      </c>
    </row>
    <row r="11" spans="1:18" ht="11.25">
      <c r="A11" s="128" t="s">
        <v>411</v>
      </c>
      <c r="B11" s="248"/>
      <c r="C11" s="249">
        <f>+C53</f>
        <v>7.9000000000000001E-2</v>
      </c>
      <c r="D11" s="249">
        <f>+D53</f>
        <v>7.9289999999999999E-2</v>
      </c>
      <c r="E11" s="249">
        <f>+E53</f>
        <v>7.9582899999999998E-2</v>
      </c>
      <c r="F11" s="249">
        <f t="shared" ref="F11:L11" si="3">+F53</f>
        <v>7.9878729000000009E-2</v>
      </c>
      <c r="G11" s="249">
        <f t="shared" si="3"/>
        <v>8.017751629E-2</v>
      </c>
      <c r="H11" s="249">
        <f t="shared" si="3"/>
        <v>8.0479291452900004E-2</v>
      </c>
      <c r="I11" s="249">
        <f t="shared" si="3"/>
        <v>8.0479291452900004E-2</v>
      </c>
      <c r="J11" s="249">
        <f t="shared" si="3"/>
        <v>8.0479291452900004E-2</v>
      </c>
      <c r="K11" s="249">
        <f t="shared" si="3"/>
        <v>8.0479291452900004E-2</v>
      </c>
      <c r="L11" s="249">
        <f t="shared" si="3"/>
        <v>8.0479291452900004E-2</v>
      </c>
      <c r="M11" s="249">
        <f>+M53</f>
        <v>8.078408436742901E-2</v>
      </c>
      <c r="O11" s="373" t="s">
        <v>412</v>
      </c>
      <c r="P11" s="374">
        <f>+J14</f>
        <v>51217.11416064154</v>
      </c>
      <c r="Q11" s="374">
        <f>+Q10+P11</f>
        <v>-53208.071087597586</v>
      </c>
      <c r="R11" s="377" t="b">
        <f t="shared" si="1"/>
        <v>0</v>
      </c>
    </row>
    <row r="12" spans="1:18" ht="11.25">
      <c r="A12" s="189" t="s">
        <v>413</v>
      </c>
      <c r="B12" s="250"/>
      <c r="C12" s="384">
        <v>1</v>
      </c>
      <c r="D12" s="252">
        <f>+C12*(1+D11)</f>
        <v>1.0792900000000001</v>
      </c>
      <c r="E12" s="252">
        <f>+D12*(1+E11)</f>
        <v>1.1651830281410001</v>
      </c>
      <c r="F12" s="252">
        <f t="shared" ref="F12:L12" si="4">+E12*(1+F11)</f>
        <v>1.2582563674812743</v>
      </c>
      <c r="G12" s="252">
        <f t="shared" si="4"/>
        <v>1.3591402378820006</v>
      </c>
      <c r="H12" s="252">
        <f t="shared" si="4"/>
        <v>1.46852288121187</v>
      </c>
      <c r="I12" s="252">
        <f t="shared" si="4"/>
        <v>1.5867085621741726</v>
      </c>
      <c r="J12" s="252">
        <f t="shared" si="4"/>
        <v>1.7144057430001998</v>
      </c>
      <c r="K12" s="252">
        <f t="shared" si="4"/>
        <v>1.8523799024596384</v>
      </c>
      <c r="L12" s="252">
        <f t="shared" si="4"/>
        <v>2.0014581245111822</v>
      </c>
      <c r="M12" s="388" t="s">
        <v>414</v>
      </c>
      <c r="O12" s="373" t="s">
        <v>415</v>
      </c>
      <c r="P12" s="374">
        <f>+K14</f>
        <v>53074.598873354938</v>
      </c>
      <c r="Q12" s="374">
        <f>+Q11+P12</f>
        <v>-133.47221424264717</v>
      </c>
      <c r="R12" s="377" t="b">
        <f t="shared" si="1"/>
        <v>0</v>
      </c>
    </row>
    <row r="13" spans="1:18" ht="11.25">
      <c r="O13" s="373" t="s">
        <v>416</v>
      </c>
      <c r="P13" s="374">
        <f>+L14</f>
        <v>55604.794032554179</v>
      </c>
      <c r="Q13" s="374">
        <f>+Q12+P13</f>
        <v>55471.321818311531</v>
      </c>
      <c r="R13" s="377">
        <f t="shared" si="1"/>
        <v>11.971195530910984</v>
      </c>
    </row>
    <row r="14" spans="1:18" ht="11.25">
      <c r="A14" s="64" t="s">
        <v>417</v>
      </c>
      <c r="B14" s="496"/>
      <c r="C14" s="245">
        <f>+C9/C12</f>
        <v>-68618.918974367291</v>
      </c>
      <c r="D14" s="245">
        <f>+D9/D12</f>
        <v>-24878.915927855003</v>
      </c>
      <c r="E14" s="245">
        <f>+E9/E12</f>
        <v>-10927.350346016834</v>
      </c>
      <c r="F14" s="245">
        <f t="shared" ref="F14:L14" si="5">+F9/F12</f>
        <v>-15924.743096348333</v>
      </c>
      <c r="G14" s="245">
        <f t="shared" si="5"/>
        <v>5530.2893072541528</v>
      </c>
      <c r="H14" s="245">
        <f t="shared" si="5"/>
        <v>30395.242518055915</v>
      </c>
      <c r="I14" s="245">
        <f t="shared" si="5"/>
        <v>34544.670297201352</v>
      </c>
      <c r="J14" s="245">
        <f t="shared" si="5"/>
        <v>51217.11416064154</v>
      </c>
      <c r="K14" s="245">
        <f t="shared" si="5"/>
        <v>53074.598873354938</v>
      </c>
      <c r="L14" s="245">
        <f t="shared" si="5"/>
        <v>55604.794032554179</v>
      </c>
      <c r="M14" s="245">
        <f>+M9/L12</f>
        <v>9279.625275620172</v>
      </c>
    </row>
    <row r="15" spans="1:18" ht="11.25">
      <c r="A15" s="54"/>
      <c r="B15" s="139"/>
      <c r="C15" s="254"/>
      <c r="D15" s="54"/>
      <c r="E15" s="54"/>
      <c r="F15" s="54"/>
      <c r="G15" s="54"/>
      <c r="H15" s="54"/>
      <c r="I15" s="54"/>
      <c r="J15" s="54"/>
      <c r="K15" s="54"/>
      <c r="L15" s="54"/>
      <c r="M15" s="244"/>
    </row>
    <row r="16" spans="1:18" ht="11.25">
      <c r="A16" s="64" t="s">
        <v>418</v>
      </c>
      <c r="B16" s="496"/>
      <c r="C16" s="245">
        <f>+C14</f>
        <v>-68618.918974367291</v>
      </c>
      <c r="D16" s="245">
        <f>+C16+D14</f>
        <v>-93497.834902222297</v>
      </c>
      <c r="E16" s="245">
        <f>+D16+E14</f>
        <v>-104425.18524823913</v>
      </c>
      <c r="F16" s="245">
        <f t="shared" ref="F16:L16" si="6">+E16+F14</f>
        <v>-120349.92834458746</v>
      </c>
      <c r="G16" s="245">
        <f t="shared" si="6"/>
        <v>-114819.63903733331</v>
      </c>
      <c r="H16" s="245">
        <f t="shared" si="6"/>
        <v>-84424.39651927739</v>
      </c>
      <c r="I16" s="245">
        <f t="shared" si="6"/>
        <v>-49879.726222076039</v>
      </c>
      <c r="J16" s="245">
        <f t="shared" si="6"/>
        <v>1337.3879385655018</v>
      </c>
      <c r="K16" s="245">
        <f t="shared" si="6"/>
        <v>54411.98681192044</v>
      </c>
      <c r="L16" s="245">
        <f t="shared" si="6"/>
        <v>110016.78084447462</v>
      </c>
      <c r="M16" s="245">
        <f>+L16+M14</f>
        <v>119296.40612009479</v>
      </c>
    </row>
    <row r="17" spans="1:19" ht="11.25">
      <c r="A17" s="54"/>
      <c r="B17" s="139"/>
      <c r="C17" s="254"/>
      <c r="D17" s="54"/>
      <c r="E17" s="54"/>
      <c r="F17" s="54"/>
      <c r="G17" s="54"/>
      <c r="H17" s="54"/>
      <c r="I17" s="54"/>
      <c r="J17" s="54"/>
      <c r="K17" s="244"/>
      <c r="L17" s="244"/>
      <c r="M17" s="244"/>
      <c r="O17" s="404" t="s">
        <v>419</v>
      </c>
      <c r="P17" s="404"/>
      <c r="Q17" s="70"/>
      <c r="R17" s="70"/>
    </row>
    <row r="18" spans="1:19" ht="12">
      <c r="A18" s="278" t="s">
        <v>420</v>
      </c>
      <c r="B18" s="279"/>
      <c r="C18" s="392">
        <f>+M16</f>
        <v>119296.40612009479</v>
      </c>
      <c r="D18" s="281"/>
      <c r="E18" s="282"/>
      <c r="F18" s="282"/>
      <c r="G18" s="282"/>
      <c r="H18" s="282"/>
      <c r="I18" s="282"/>
      <c r="J18" s="283"/>
      <c r="K18" s="284"/>
      <c r="L18" s="281"/>
      <c r="M18" s="281"/>
      <c r="O18" s="378" t="s">
        <v>421</v>
      </c>
      <c r="P18" s="378"/>
      <c r="Q18" s="378"/>
      <c r="R18" s="405">
        <f>($L$9*(1+Pressupostos!$B$38))/(Avaliação!$M$11-Pressupostos!$B$38)</f>
        <v>1377631.0971359757</v>
      </c>
    </row>
    <row r="19" spans="1:19" ht="11.25">
      <c r="A19" s="54"/>
      <c r="B19" s="258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O19" s="379" t="s">
        <v>422</v>
      </c>
      <c r="P19" s="286"/>
      <c r="Q19" s="286"/>
      <c r="R19" s="396"/>
    </row>
    <row r="20" spans="1:19" ht="12.75" customHeight="1">
      <c r="A20" s="64" t="s">
        <v>423</v>
      </c>
      <c r="B20" s="496"/>
      <c r="C20" s="393">
        <f>IRR(C9:M9,0.1)</f>
        <v>0.20071264716148463</v>
      </c>
      <c r="D20" s="260"/>
      <c r="E20" s="260"/>
      <c r="F20" s="260"/>
      <c r="G20" s="260"/>
      <c r="H20" s="260"/>
      <c r="I20" s="260"/>
      <c r="J20" s="260"/>
      <c r="K20" s="260"/>
      <c r="L20" s="244"/>
      <c r="M20" s="244"/>
      <c r="O20" s="586" t="s">
        <v>424</v>
      </c>
      <c r="P20" s="586"/>
      <c r="Q20" s="586"/>
      <c r="R20" s="587">
        <f>(+Balanço!$M$9+FundoManeio!$M$22)/(L12*(1+M11))</f>
        <v>18572.781400309312</v>
      </c>
    </row>
    <row r="21" spans="1:19" ht="11.25">
      <c r="A21" s="54"/>
      <c r="B21" s="54"/>
      <c r="C21" s="391"/>
      <c r="D21" s="54"/>
      <c r="E21" s="54"/>
      <c r="F21" s="54"/>
      <c r="G21" s="54"/>
      <c r="H21" s="54"/>
      <c r="I21" s="54"/>
      <c r="J21" s="54"/>
      <c r="K21" s="54"/>
      <c r="L21" s="54"/>
      <c r="M21" s="54"/>
      <c r="O21" s="586"/>
      <c r="P21" s="586"/>
      <c r="Q21" s="586"/>
      <c r="R21" s="588"/>
    </row>
    <row r="22" spans="1:19" ht="11.25">
      <c r="A22" s="64" t="s">
        <v>425</v>
      </c>
      <c r="B22" s="496"/>
      <c r="C22" s="394">
        <f>COUNTIF(R8:R13,"falso")</f>
        <v>5</v>
      </c>
      <c r="D22" s="261" t="s">
        <v>426</v>
      </c>
      <c r="E22" s="277"/>
      <c r="F22" s="277"/>
      <c r="G22" s="277"/>
      <c r="H22" s="277"/>
      <c r="I22" s="277"/>
      <c r="J22" s="54"/>
      <c r="K22" s="54"/>
      <c r="L22" s="54"/>
      <c r="M22" s="54"/>
    </row>
    <row r="23" spans="1:19" ht="11.25">
      <c r="A23" s="246"/>
      <c r="B23" s="5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</row>
    <row r="24" spans="1:19" ht="11.25">
      <c r="A24" s="395"/>
      <c r="B24" s="395"/>
      <c r="C24" s="395"/>
      <c r="D24" s="395"/>
      <c r="E24" s="395"/>
      <c r="F24" s="395"/>
      <c r="G24" s="395"/>
      <c r="H24" s="395"/>
      <c r="I24" s="395"/>
      <c r="J24" s="395"/>
      <c r="K24" s="395"/>
      <c r="L24" s="395"/>
      <c r="M24" s="395"/>
    </row>
    <row r="25" spans="1:19" ht="11.25">
      <c r="A25" s="395"/>
      <c r="B25" s="395"/>
      <c r="C25" s="395"/>
      <c r="D25" s="395"/>
      <c r="E25" s="395"/>
      <c r="F25" s="395"/>
      <c r="G25" s="395"/>
      <c r="H25" s="395"/>
      <c r="I25" s="395"/>
      <c r="J25" s="395"/>
      <c r="K25" s="395"/>
      <c r="L25" s="395"/>
      <c r="M25" s="395"/>
    </row>
    <row r="26" spans="1:19" ht="11.25">
      <c r="A26" s="246"/>
      <c r="B26" s="5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</row>
    <row r="27" spans="1:19" ht="12.75">
      <c r="A27" s="591" t="s">
        <v>427</v>
      </c>
      <c r="B27" s="592"/>
      <c r="C27" s="493">
        <f>+VN!C8</f>
        <v>2020</v>
      </c>
      <c r="D27" s="493">
        <f>+VN!D8</f>
        <v>2021</v>
      </c>
      <c r="E27" s="493">
        <f>+VN!E8</f>
        <v>2022</v>
      </c>
      <c r="F27" s="493">
        <f>+VN!F8</f>
        <v>2023</v>
      </c>
      <c r="G27" s="493">
        <f>+VN!G8</f>
        <v>2024</v>
      </c>
      <c r="H27" s="493">
        <f>+VN!H8</f>
        <v>2025</v>
      </c>
      <c r="I27" s="493">
        <f>+VN!I8</f>
        <v>2026</v>
      </c>
      <c r="J27" s="493">
        <f>+VN!J8</f>
        <v>2027</v>
      </c>
      <c r="K27" s="493">
        <f>+VN!K8</f>
        <v>2028</v>
      </c>
      <c r="L27" s="493">
        <f>+VN!L8</f>
        <v>2029</v>
      </c>
      <c r="M27" s="493">
        <f>+VN!M8</f>
        <v>2030</v>
      </c>
      <c r="O27" s="373"/>
      <c r="P27" s="373" t="s">
        <v>187</v>
      </c>
      <c r="Q27" s="373" t="s">
        <v>406</v>
      </c>
      <c r="R27" s="373"/>
      <c r="S27" s="70"/>
    </row>
    <row r="28" spans="1:19" ht="11.25">
      <c r="A28" s="139"/>
      <c r="B28" s="139"/>
      <c r="C28" s="244"/>
      <c r="D28" s="244"/>
      <c r="E28" s="244"/>
      <c r="F28" s="244"/>
      <c r="G28" s="244"/>
      <c r="H28" s="244"/>
      <c r="I28" s="244"/>
      <c r="J28" s="244"/>
      <c r="K28" s="244"/>
      <c r="L28" s="244"/>
      <c r="M28" s="244"/>
      <c r="N28" s="593" t="s">
        <v>407</v>
      </c>
      <c r="O28" s="373" t="s">
        <v>408</v>
      </c>
      <c r="P28" s="374">
        <f>+C34</f>
        <v>-68618.918974367291</v>
      </c>
      <c r="Q28" s="374">
        <f>+P28</f>
        <v>-68618.918974367291</v>
      </c>
      <c r="R28" s="375" t="b">
        <f t="shared" ref="R28:R33" si="7">IF(Q28&gt;0,Q28/P28*12)</f>
        <v>0</v>
      </c>
      <c r="S28" s="70"/>
    </row>
    <row r="29" spans="1:19" ht="11.25">
      <c r="A29" s="64" t="s">
        <v>74</v>
      </c>
      <c r="B29" s="496"/>
      <c r="C29" s="245">
        <f>+'Cash Flow'!C21</f>
        <v>-68618.918974367291</v>
      </c>
      <c r="D29" s="245">
        <f>+'Cash Flow'!D21</f>
        <v>-26851.56517177463</v>
      </c>
      <c r="E29" s="245">
        <f>+'Cash Flow'!E21</f>
        <v>-12732.363165729499</v>
      </c>
      <c r="F29" s="245">
        <f>+'Cash Flow'!F21</f>
        <v>-20037.409401483754</v>
      </c>
      <c r="G29" s="245">
        <f>+'Cash Flow'!G21</f>
        <v>7516.4387246176939</v>
      </c>
      <c r="H29" s="245">
        <f>+'Cash Flow'!H21</f>
        <v>44636.109117749009</v>
      </c>
      <c r="I29" s="245">
        <f>+'Cash Flow'!I21</f>
        <v>54812.324138053198</v>
      </c>
      <c r="J29" s="245">
        <f>+'Cash Flow'!J21</f>
        <v>87806.914656900713</v>
      </c>
      <c r="K29" s="245">
        <f>+'Cash Flow'!K21</f>
        <v>98314.32028410965</v>
      </c>
      <c r="L29" s="245">
        <f>+'Cash Flow'!L21</f>
        <v>111290.66677822646</v>
      </c>
      <c r="M29" s="401">
        <f>+R39</f>
        <v>34044.896226122582</v>
      </c>
      <c r="N29" s="593"/>
      <c r="O29" s="373" t="s">
        <v>409</v>
      </c>
      <c r="P29" s="374">
        <f>+D34</f>
        <v>-24262.63852209918</v>
      </c>
      <c r="Q29" s="374">
        <f>+Q28+P29</f>
        <v>-92881.55749646647</v>
      </c>
      <c r="R29" s="376" t="b">
        <f t="shared" si="7"/>
        <v>0</v>
      </c>
      <c r="S29" s="70"/>
    </row>
    <row r="30" spans="1:19" ht="11.25">
      <c r="A30" s="246"/>
      <c r="B30" s="5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593"/>
      <c r="O30" s="373" t="s">
        <v>410</v>
      </c>
      <c r="P30" s="374">
        <f>+E34</f>
        <v>-12312.524275879989</v>
      </c>
      <c r="Q30" s="374">
        <f>+Q29+P30</f>
        <v>-105194.08177234646</v>
      </c>
      <c r="R30" s="376" t="b">
        <f t="shared" si="7"/>
        <v>0</v>
      </c>
      <c r="S30" s="70"/>
    </row>
    <row r="31" spans="1:19" ht="11.25">
      <c r="A31" s="128" t="s">
        <v>428</v>
      </c>
      <c r="B31" s="248"/>
      <c r="C31" s="249">
        <f>+C80</f>
        <v>6.7971677605031186E-2</v>
      </c>
      <c r="D31" s="249">
        <f>+D80</f>
        <v>0.10670425012998383</v>
      </c>
      <c r="E31" s="249">
        <f>+E80</f>
        <v>-6.5605356908226997E-2</v>
      </c>
      <c r="F31" s="249">
        <f t="shared" ref="F31:L31" si="8">+F80</f>
        <v>1.7342973957829438E-3</v>
      </c>
      <c r="G31" s="249">
        <f t="shared" si="8"/>
        <v>1.0792563066898346E-2</v>
      </c>
      <c r="H31" s="249">
        <f t="shared" si="8"/>
        <v>1.4904332366655556E-2</v>
      </c>
      <c r="I31" s="249">
        <f t="shared" si="8"/>
        <v>1.9347356447710448E-2</v>
      </c>
      <c r="J31" s="249">
        <f t="shared" si="8"/>
        <v>2.1637071849061627E-2</v>
      </c>
      <c r="K31" s="249">
        <f t="shared" si="8"/>
        <v>2.1637071849061627E-2</v>
      </c>
      <c r="L31" s="249">
        <f t="shared" si="8"/>
        <v>2.1637071849061627E-2</v>
      </c>
      <c r="M31" s="249">
        <f>+L31</f>
        <v>2.1637071849061627E-2</v>
      </c>
      <c r="O31" s="373" t="s">
        <v>412</v>
      </c>
      <c r="P31" s="374">
        <f>+J34</f>
        <v>79342.936020851877</v>
      </c>
      <c r="Q31" s="374">
        <f>+Q30+P31</f>
        <v>-25851.14575149458</v>
      </c>
      <c r="R31" s="377" t="b">
        <f t="shared" si="7"/>
        <v>0</v>
      </c>
      <c r="S31" s="70"/>
    </row>
    <row r="32" spans="1:19" ht="11.25">
      <c r="A32" s="189" t="s">
        <v>413</v>
      </c>
      <c r="B32" s="250"/>
      <c r="C32" s="251">
        <v>1</v>
      </c>
      <c r="D32" s="252">
        <f>+C32*(1+D31)</f>
        <v>1.1067042501299837</v>
      </c>
      <c r="E32" s="252">
        <f>+D32*(1+E31)</f>
        <v>1.0340985228083543</v>
      </c>
      <c r="F32" s="252">
        <f t="shared" ref="F32:L32" si="9">+E32*(1+F31)</f>
        <v>1.035891957183444</v>
      </c>
      <c r="G32" s="252">
        <f t="shared" si="9"/>
        <v>1.0470718864618391</v>
      </c>
      <c r="H32" s="252">
        <f t="shared" si="9"/>
        <v>1.0626777938694474</v>
      </c>
      <c r="I32" s="252">
        <f t="shared" si="9"/>
        <v>1.0832377999365062</v>
      </c>
      <c r="J32" s="252">
        <f t="shared" si="9"/>
        <v>1.1066758940433519</v>
      </c>
      <c r="K32" s="252">
        <f t="shared" si="9"/>
        <v>1.1306211198763925</v>
      </c>
      <c r="L32" s="252">
        <f t="shared" si="9"/>
        <v>1.1550844502812245</v>
      </c>
      <c r="M32" s="388" t="s">
        <v>414</v>
      </c>
      <c r="O32" s="373" t="s">
        <v>415</v>
      </c>
      <c r="P32" s="374">
        <f>+K34</f>
        <v>86956.026696952264</v>
      </c>
      <c r="Q32" s="374">
        <f>+Q31+P32</f>
        <v>61104.880945457684</v>
      </c>
      <c r="R32" s="377">
        <f t="shared" si="7"/>
        <v>8.4325215766924213</v>
      </c>
      <c r="S32" s="70"/>
    </row>
    <row r="33" spans="1:19" ht="11.25">
      <c r="A33" s="54"/>
      <c r="B33" s="253"/>
      <c r="C33" s="253"/>
      <c r="D33" s="253"/>
      <c r="E33" s="253"/>
      <c r="F33" s="253"/>
      <c r="G33" s="253"/>
      <c r="H33" s="253"/>
      <c r="I33" s="253"/>
      <c r="J33" s="253"/>
      <c r="K33" s="253"/>
      <c r="L33" s="253"/>
      <c r="M33" s="253"/>
      <c r="O33" s="373" t="s">
        <v>416</v>
      </c>
      <c r="P33" s="374">
        <f>+L34</f>
        <v>96348.510925872906</v>
      </c>
      <c r="Q33" s="374">
        <f>+Q32+P33</f>
        <v>157453.39187133059</v>
      </c>
      <c r="R33" s="377">
        <f t="shared" si="7"/>
        <v>19.610481618233159</v>
      </c>
      <c r="S33" s="70"/>
    </row>
    <row r="34" spans="1:19" ht="11.25">
      <c r="A34" s="64" t="s">
        <v>417</v>
      </c>
      <c r="B34" s="496"/>
      <c r="C34" s="245">
        <f>+C29/C32</f>
        <v>-68618.918974367291</v>
      </c>
      <c r="D34" s="245">
        <f>+D29/D32</f>
        <v>-24262.63852209918</v>
      </c>
      <c r="E34" s="245">
        <f>+E29/E32</f>
        <v>-12312.524275879989</v>
      </c>
      <c r="F34" s="245">
        <f t="shared" ref="F34:L34" si="10">+F29/F32</f>
        <v>-19343.146032299363</v>
      </c>
      <c r="G34" s="245">
        <f t="shared" si="10"/>
        <v>7178.5316956761144</v>
      </c>
      <c r="H34" s="245">
        <f t="shared" si="10"/>
        <v>42003.426979704695</v>
      </c>
      <c r="I34" s="245">
        <f t="shared" si="10"/>
        <v>50600.453696562305</v>
      </c>
      <c r="J34" s="245">
        <f t="shared" si="10"/>
        <v>79342.936020851877</v>
      </c>
      <c r="K34" s="245">
        <f t="shared" si="10"/>
        <v>86956.026696952264</v>
      </c>
      <c r="L34" s="245">
        <f t="shared" si="10"/>
        <v>96348.510925872906</v>
      </c>
      <c r="M34" s="245">
        <f>+M29/L32</f>
        <v>29473.945578467261</v>
      </c>
      <c r="O34" s="70"/>
      <c r="P34" s="70"/>
      <c r="Q34" s="70"/>
      <c r="R34" s="70"/>
      <c r="S34" s="70"/>
    </row>
    <row r="35" spans="1:19" ht="11.25">
      <c r="A35" s="54"/>
      <c r="B35" s="139"/>
      <c r="C35" s="254"/>
      <c r="D35" s="54"/>
      <c r="E35" s="54"/>
      <c r="F35" s="54"/>
      <c r="G35" s="54"/>
      <c r="H35" s="54"/>
      <c r="I35" s="54"/>
      <c r="J35" s="54"/>
      <c r="K35" s="54"/>
      <c r="L35" s="54"/>
      <c r="M35" s="244"/>
      <c r="O35" s="70"/>
      <c r="P35" s="70"/>
      <c r="Q35" s="70"/>
      <c r="R35" s="70"/>
      <c r="S35" s="70"/>
    </row>
    <row r="36" spans="1:19" ht="11.25">
      <c r="A36" s="64" t="s">
        <v>418</v>
      </c>
      <c r="B36" s="496"/>
      <c r="C36" s="245">
        <f>+C34</f>
        <v>-68618.918974367291</v>
      </c>
      <c r="D36" s="245">
        <f>+SUM($C$34:D34)</f>
        <v>-92881.55749646647</v>
      </c>
      <c r="E36" s="245">
        <f>+SUM($C$34:E34)</f>
        <v>-105194.08177234646</v>
      </c>
      <c r="F36" s="245">
        <f>+SUM($C$34:F34)</f>
        <v>-124537.22780464582</v>
      </c>
      <c r="G36" s="245">
        <f>+SUM($C$34:G34)</f>
        <v>-117358.69610896971</v>
      </c>
      <c r="H36" s="245">
        <f>+SUM($C$34:H34)</f>
        <v>-75355.269129265012</v>
      </c>
      <c r="I36" s="245">
        <f>+SUM($C$34:I34)</f>
        <v>-24754.815432702708</v>
      </c>
      <c r="J36" s="245">
        <f>+SUM($C$34:J34)</f>
        <v>54588.12058814917</v>
      </c>
      <c r="K36" s="245">
        <f>+SUM($C$34:K34)</f>
        <v>141544.14728510144</v>
      </c>
      <c r="L36" s="245">
        <f>+SUM($C$34:L34)</f>
        <v>237892.65821097436</v>
      </c>
      <c r="M36" s="245">
        <f>+SUM($C$34:M34)</f>
        <v>267366.60378944164</v>
      </c>
      <c r="O36" s="404" t="s">
        <v>419</v>
      </c>
      <c r="P36" s="404"/>
      <c r="Q36" s="70"/>
      <c r="R36" s="70"/>
      <c r="S36" s="70"/>
    </row>
    <row r="37" spans="1:19" ht="12">
      <c r="A37" s="54"/>
      <c r="B37" s="139"/>
      <c r="C37" s="254"/>
      <c r="D37" s="54"/>
      <c r="E37" s="54"/>
      <c r="F37" s="54"/>
      <c r="G37" s="54"/>
      <c r="H37" s="54"/>
      <c r="I37" s="54"/>
      <c r="J37" s="54"/>
      <c r="K37" s="244"/>
      <c r="L37" s="244"/>
      <c r="M37" s="244"/>
      <c r="O37" s="378" t="s">
        <v>421</v>
      </c>
      <c r="P37" s="378"/>
      <c r="Q37" s="378"/>
      <c r="R37" s="405">
        <f>($L$29*(1+Pressupostos!$B$38))/(Avaliação!$M$31-Pressupostos!$B$38)</f>
        <v>5143517.9193645371</v>
      </c>
      <c r="S37" s="70"/>
    </row>
    <row r="38" spans="1:19" s="285" customFormat="1" ht="11.25">
      <c r="A38" s="278" t="s">
        <v>420</v>
      </c>
      <c r="B38" s="279"/>
      <c r="C38" s="280">
        <f>+M36</f>
        <v>267366.60378944164</v>
      </c>
      <c r="D38" s="281"/>
      <c r="E38" s="282"/>
      <c r="F38" s="282"/>
      <c r="G38" s="282"/>
      <c r="H38" s="282"/>
      <c r="I38" s="282"/>
      <c r="J38" s="283"/>
      <c r="K38" s="284"/>
      <c r="L38" s="281"/>
      <c r="M38" s="281"/>
      <c r="O38" s="379" t="s">
        <v>422</v>
      </c>
      <c r="P38" s="286"/>
      <c r="Q38" s="286"/>
      <c r="R38" s="396"/>
      <c r="S38" s="286"/>
    </row>
    <row r="39" spans="1:19" ht="12.75" customHeight="1">
      <c r="A39" s="54"/>
      <c r="B39" s="258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O39" s="586" t="s">
        <v>429</v>
      </c>
      <c r="P39" s="586"/>
      <c r="Q39" s="586"/>
      <c r="R39" s="587">
        <f>(+Balanço!$M$9+FundoManeio!$M$22)/(L32*(1+M31))</f>
        <v>34044.896226122582</v>
      </c>
      <c r="S39" s="70"/>
    </row>
    <row r="40" spans="1:19" ht="11.25">
      <c r="A40" s="64" t="s">
        <v>423</v>
      </c>
      <c r="B40" s="496"/>
      <c r="C40" s="259">
        <f>IRR(C29:M29,0.1)</f>
        <v>0.20480826225373128</v>
      </c>
      <c r="D40" s="260"/>
      <c r="E40" s="260"/>
      <c r="F40" s="260"/>
      <c r="G40" s="260"/>
      <c r="H40" s="260"/>
      <c r="I40" s="260"/>
      <c r="J40" s="260"/>
      <c r="K40" s="260"/>
      <c r="L40" s="244"/>
      <c r="M40" s="244"/>
      <c r="O40" s="586"/>
      <c r="P40" s="586"/>
      <c r="Q40" s="586"/>
      <c r="R40" s="588"/>
    </row>
    <row r="41" spans="1:19" ht="11.25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</row>
    <row r="42" spans="1:19" ht="11.25">
      <c r="A42" s="64" t="s">
        <v>430</v>
      </c>
      <c r="B42" s="496"/>
      <c r="C42" s="245">
        <f>COUNTIF(R28:R33,"falso")</f>
        <v>4</v>
      </c>
      <c r="D42" s="261" t="s">
        <v>426</v>
      </c>
      <c r="E42" s="277"/>
      <c r="F42" s="277"/>
      <c r="G42" s="277"/>
      <c r="H42" s="277"/>
      <c r="I42" s="277"/>
      <c r="J42" s="54"/>
      <c r="K42" s="54"/>
      <c r="L42" s="54"/>
      <c r="M42" s="54"/>
    </row>
    <row r="43" spans="1:19" ht="11.25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</row>
    <row r="44" spans="1:19" ht="11.25">
      <c r="A44" s="395"/>
      <c r="B44" s="395"/>
      <c r="C44" s="395"/>
      <c r="D44" s="395"/>
      <c r="E44" s="395"/>
      <c r="F44" s="395"/>
      <c r="G44" s="395"/>
      <c r="H44" s="395"/>
      <c r="I44" s="395"/>
      <c r="J44" s="395"/>
      <c r="K44" s="395"/>
      <c r="L44" s="395"/>
      <c r="M44" s="395"/>
    </row>
    <row r="45" spans="1:19" ht="11.25">
      <c r="A45" s="395"/>
      <c r="B45" s="395"/>
      <c r="C45" s="395"/>
      <c r="D45" s="395"/>
      <c r="E45" s="395"/>
      <c r="F45" s="395"/>
      <c r="G45" s="395"/>
      <c r="H45" s="395"/>
      <c r="I45" s="395"/>
      <c r="J45" s="395"/>
      <c r="K45" s="395"/>
      <c r="L45" s="395"/>
      <c r="M45" s="395"/>
    </row>
    <row r="46" spans="1:19" ht="11.25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</row>
    <row r="47" spans="1:19" ht="12.75">
      <c r="A47" s="584" t="s">
        <v>431</v>
      </c>
      <c r="B47" s="585"/>
      <c r="C47" s="493">
        <f>+VN!C8</f>
        <v>2020</v>
      </c>
      <c r="D47" s="493">
        <f>+VN!D8</f>
        <v>2021</v>
      </c>
      <c r="E47" s="493">
        <f>+VN!E8</f>
        <v>2022</v>
      </c>
      <c r="F47" s="493">
        <f>+VN!F8</f>
        <v>2023</v>
      </c>
      <c r="G47" s="493">
        <f>+VN!G8</f>
        <v>2024</v>
      </c>
      <c r="H47" s="493">
        <f>+VN!H8</f>
        <v>2025</v>
      </c>
      <c r="I47" s="493">
        <f>+VN!I8</f>
        <v>2026</v>
      </c>
      <c r="J47" s="493">
        <f>+VN!J8</f>
        <v>2027</v>
      </c>
      <c r="K47" s="493">
        <f>+VN!K8</f>
        <v>2028</v>
      </c>
      <c r="L47" s="493">
        <f>+VN!L8</f>
        <v>2029</v>
      </c>
      <c r="M47" s="493">
        <f>+VN!M8</f>
        <v>2030</v>
      </c>
    </row>
    <row r="48" spans="1:19" ht="11.25">
      <c r="A48" s="54"/>
      <c r="B48" s="139"/>
      <c r="C48" s="244"/>
      <c r="D48" s="244"/>
      <c r="E48" s="244"/>
      <c r="F48" s="244"/>
      <c r="G48" s="244"/>
      <c r="H48" s="244"/>
      <c r="I48" s="244"/>
      <c r="J48" s="244"/>
      <c r="K48" s="244"/>
      <c r="L48" s="244"/>
      <c r="M48" s="244"/>
      <c r="N48" s="594" t="s">
        <v>407</v>
      </c>
      <c r="O48" s="70"/>
    </row>
    <row r="49" spans="1:18" ht="11.25">
      <c r="A49" s="64" t="s">
        <v>432</v>
      </c>
      <c r="B49" s="496"/>
      <c r="C49" s="245">
        <f>+'Cash Flow'!C21+PlanoFinanceiro!C12-PlanoFinanceiro!C23-DR!B28</f>
        <v>23349.081025632709</v>
      </c>
      <c r="D49" s="245">
        <f>+'Cash Flow'!D21+PlanoFinanceiro!D12-PlanoFinanceiro!D23-DR!C28</f>
        <v>11602.43482822537</v>
      </c>
      <c r="E49" s="245">
        <f>+'Cash Flow'!E21+PlanoFinanceiro!J12-PlanoFinanceiro!J23-DR!D28</f>
        <v>-34278.363165729497</v>
      </c>
      <c r="F49" s="245">
        <f>+'Cash Flow'!F21+PlanoFinanceiro!K12-PlanoFinanceiro!K23-DR!E28</f>
        <v>-29977.009401483752</v>
      </c>
      <c r="G49" s="245">
        <f>+'Cash Flow'!G21+PlanoFinanceiro!L12-PlanoFinanceiro!L23-DR!F28</f>
        <v>-113.96127538230576</v>
      </c>
      <c r="H49" s="245">
        <f>+'Cash Flow'!H21+PlanoFinanceiro!M12-PlanoFinanceiro!M23-DR!G28</f>
        <v>39314.909117749012</v>
      </c>
      <c r="I49" s="245">
        <f>+'Cash Flow'!I21+PlanoFinanceiro!N12-PlanoFinanceiro!N23-DR!H28</f>
        <v>51800.324138053198</v>
      </c>
      <c r="J49" s="245">
        <f>+'Cash Flow'!J21+PlanoFinanceiro!O12-PlanoFinanceiro!O23-DR!I28</f>
        <v>87104.114656900711</v>
      </c>
      <c r="K49" s="245">
        <f>+'Cash Flow'!K21+PlanoFinanceiro!P12-PlanoFinanceiro!P23-DR!J28</f>
        <v>98314.32028410965</v>
      </c>
      <c r="L49" s="245">
        <f>+'Cash Flow'!L21+PlanoFinanceiro!Q12-PlanoFinanceiro!Q23-DR!K28</f>
        <v>111290.66677822646</v>
      </c>
      <c r="M49" s="401">
        <f>+R63</f>
        <v>179470.10619267364</v>
      </c>
      <c r="N49" s="594"/>
      <c r="O49" s="70"/>
      <c r="P49" s="70"/>
      <c r="Q49" s="70"/>
      <c r="R49" s="70"/>
    </row>
    <row r="50" spans="1:18" ht="11.25">
      <c r="A50" s="54"/>
      <c r="B50" s="253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3"/>
      <c r="N50" s="593"/>
      <c r="O50" s="373"/>
      <c r="P50" s="373" t="s">
        <v>187</v>
      </c>
      <c r="Q50" s="373" t="s">
        <v>406</v>
      </c>
      <c r="R50" s="373"/>
    </row>
    <row r="51" spans="1:18" ht="11.25">
      <c r="A51" s="128" t="s">
        <v>433</v>
      </c>
      <c r="B51" s="248"/>
      <c r="C51" s="402">
        <f>+Pressupostos!B35</f>
        <v>2.9000000000000001E-2</v>
      </c>
      <c r="D51" s="403">
        <f>+C51*(1+VN!D9)</f>
        <v>2.929E-2</v>
      </c>
      <c r="E51" s="403">
        <f>+D51*(1+VN!J9)</f>
        <v>2.9582899999999999E-2</v>
      </c>
      <c r="F51" s="403">
        <f>+E51*(1+VN!K9)</f>
        <v>2.9878729E-2</v>
      </c>
      <c r="G51" s="403">
        <f>+F51*(1+VN!L9)</f>
        <v>3.0177516290000001E-2</v>
      </c>
      <c r="H51" s="403">
        <f>+G51*(1+VN!M9)</f>
        <v>3.0479291452900001E-2</v>
      </c>
      <c r="I51" s="403">
        <f>+H51*(1+VN!N9)</f>
        <v>3.0479291452900001E-2</v>
      </c>
      <c r="J51" s="403">
        <f>+I51*(1+VN!O9)</f>
        <v>3.0479291452900001E-2</v>
      </c>
      <c r="K51" s="403">
        <f>+J51*(1+VN!P9)</f>
        <v>3.0479291452900001E-2</v>
      </c>
      <c r="L51" s="403">
        <f>+K51*(1+VN!Q9)</f>
        <v>3.0479291452900001E-2</v>
      </c>
      <c r="M51" s="403">
        <f>+L51*(1+VN!M9)</f>
        <v>3.0784084367429E-2</v>
      </c>
      <c r="O51" s="373" t="s">
        <v>408</v>
      </c>
      <c r="P51" s="374">
        <f>+C56</f>
        <v>23349.081025632709</v>
      </c>
      <c r="Q51" s="374">
        <f>+P51</f>
        <v>23349.081025632709</v>
      </c>
      <c r="R51" s="375">
        <f t="shared" ref="R51:R57" si="11">IF(Q51&gt;0,Q51/P51*12)</f>
        <v>12</v>
      </c>
    </row>
    <row r="52" spans="1:18" ht="11.25">
      <c r="A52" s="128" t="s">
        <v>434</v>
      </c>
      <c r="B52" s="248"/>
      <c r="C52" s="249">
        <f>+Pressupostos!B36</f>
        <v>0.05</v>
      </c>
      <c r="D52" s="249">
        <f t="shared" ref="D52:M52" si="12">+C52</f>
        <v>0.05</v>
      </c>
      <c r="E52" s="249">
        <f t="shared" si="12"/>
        <v>0.05</v>
      </c>
      <c r="F52" s="249">
        <f t="shared" si="12"/>
        <v>0.05</v>
      </c>
      <c r="G52" s="249">
        <f t="shared" si="12"/>
        <v>0.05</v>
      </c>
      <c r="H52" s="249">
        <f t="shared" si="12"/>
        <v>0.05</v>
      </c>
      <c r="I52" s="249">
        <f t="shared" si="12"/>
        <v>0.05</v>
      </c>
      <c r="J52" s="249">
        <f t="shared" si="12"/>
        <v>0.05</v>
      </c>
      <c r="K52" s="249">
        <f t="shared" si="12"/>
        <v>0.05</v>
      </c>
      <c r="L52" s="249">
        <f t="shared" si="12"/>
        <v>0.05</v>
      </c>
      <c r="M52" s="249">
        <f t="shared" si="12"/>
        <v>0.05</v>
      </c>
      <c r="O52" s="373" t="s">
        <v>409</v>
      </c>
      <c r="P52" s="374">
        <f>+D56</f>
        <v>10750.062381959779</v>
      </c>
      <c r="Q52" s="374">
        <f t="shared" ref="Q52:Q57" si="13">+Q51+P52</f>
        <v>34099.143407592492</v>
      </c>
      <c r="R52" s="380">
        <f t="shared" si="11"/>
        <v>38.063939198882402</v>
      </c>
    </row>
    <row r="53" spans="1:18" ht="11.25">
      <c r="A53" s="128" t="s">
        <v>435</v>
      </c>
      <c r="B53" s="248"/>
      <c r="C53" s="249">
        <f>+C51+Pressupostos!$B$37*(Avaliação!C52)</f>
        <v>7.9000000000000001E-2</v>
      </c>
      <c r="D53" s="249">
        <f>+D51+Pressupostos!$B$37*(Avaliação!D52)</f>
        <v>7.9289999999999999E-2</v>
      </c>
      <c r="E53" s="249">
        <f>+E51+Pressupostos!$B$37*(Avaliação!E52)</f>
        <v>7.9582899999999998E-2</v>
      </c>
      <c r="F53" s="249">
        <f>+F51+Pressupostos!$B$37*(Avaliação!F52)</f>
        <v>7.9878729000000009E-2</v>
      </c>
      <c r="G53" s="249">
        <f>+G51+Pressupostos!$B$37*(Avaliação!G52)</f>
        <v>8.017751629E-2</v>
      </c>
      <c r="H53" s="249">
        <f>+H51+Pressupostos!$B$37*(Avaliação!H52)</f>
        <v>8.0479291452900004E-2</v>
      </c>
      <c r="I53" s="249">
        <f>+I51+Pressupostos!$B$37*(Avaliação!I52)</f>
        <v>8.0479291452900004E-2</v>
      </c>
      <c r="J53" s="249">
        <f>+J51+Pressupostos!$B$37*(Avaliação!J52)</f>
        <v>8.0479291452900004E-2</v>
      </c>
      <c r="K53" s="249">
        <f>+K51+Pressupostos!$B$37*(Avaliação!K52)</f>
        <v>8.0479291452900004E-2</v>
      </c>
      <c r="L53" s="249">
        <f>+L51+Pressupostos!$B$37*(Avaliação!L52)</f>
        <v>8.0479291452900004E-2</v>
      </c>
      <c r="M53" s="249">
        <f>+M51+Pressupostos!$B$37*(Avaliação!M52)</f>
        <v>8.078408436742901E-2</v>
      </c>
      <c r="O53" s="373" t="s">
        <v>410</v>
      </c>
      <c r="P53" s="374">
        <f>+E56</f>
        <v>-29418.865824383975</v>
      </c>
      <c r="Q53" s="374">
        <f t="shared" si="13"/>
        <v>4680.2775832085172</v>
      </c>
      <c r="R53" s="380">
        <f t="shared" si="11"/>
        <v>-1.90909232646049</v>
      </c>
    </row>
    <row r="54" spans="1:18" ht="11.25">
      <c r="A54" s="128" t="s">
        <v>436</v>
      </c>
      <c r="B54" s="248"/>
      <c r="C54" s="251">
        <v>1</v>
      </c>
      <c r="D54" s="252">
        <f t="shared" ref="D54:L54" si="14">+C54*(1+D53)</f>
        <v>1.0792900000000001</v>
      </c>
      <c r="E54" s="252">
        <f t="shared" si="14"/>
        <v>1.1651830281410001</v>
      </c>
      <c r="F54" s="252">
        <f t="shared" si="14"/>
        <v>1.2582563674812743</v>
      </c>
      <c r="G54" s="252">
        <f t="shared" si="14"/>
        <v>1.3591402378820006</v>
      </c>
      <c r="H54" s="252">
        <f t="shared" si="14"/>
        <v>1.46852288121187</v>
      </c>
      <c r="I54" s="252">
        <f t="shared" si="14"/>
        <v>1.5867085621741726</v>
      </c>
      <c r="J54" s="252">
        <f t="shared" si="14"/>
        <v>1.7144057430001998</v>
      </c>
      <c r="K54" s="252">
        <f t="shared" si="14"/>
        <v>1.8523799024596384</v>
      </c>
      <c r="L54" s="252">
        <f t="shared" si="14"/>
        <v>2.0014581245111822</v>
      </c>
      <c r="M54" s="387" t="s">
        <v>414</v>
      </c>
      <c r="O54" s="373" t="s">
        <v>412</v>
      </c>
      <c r="P54" s="374">
        <f>+J56</f>
        <v>50807.176196498869</v>
      </c>
      <c r="Q54" s="374">
        <f t="shared" si="13"/>
        <v>55487.453779707386</v>
      </c>
      <c r="R54" s="377">
        <f t="shared" si="11"/>
        <v>13.105421225956118</v>
      </c>
    </row>
    <row r="55" spans="1:18" ht="11.25">
      <c r="A55" s="54"/>
      <c r="B55" s="253"/>
      <c r="C55" s="263"/>
      <c r="D55" s="264"/>
      <c r="E55" s="264"/>
      <c r="F55" s="264"/>
      <c r="G55" s="264"/>
      <c r="H55" s="264"/>
      <c r="I55" s="264"/>
      <c r="J55" s="264"/>
      <c r="K55" s="264"/>
      <c r="L55" s="264"/>
      <c r="M55" s="264"/>
      <c r="O55" s="373" t="s">
        <v>415</v>
      </c>
      <c r="P55" s="374">
        <f>+K56</f>
        <v>53074.598873354938</v>
      </c>
      <c r="Q55" s="374">
        <f t="shared" si="13"/>
        <v>108562.05265306233</v>
      </c>
      <c r="R55" s="377">
        <f>IF(Q55&gt;0,Q55/P55*12)</f>
        <v>24.545538911096045</v>
      </c>
    </row>
    <row r="56" spans="1:18" ht="11.25">
      <c r="A56" s="64" t="s">
        <v>437</v>
      </c>
      <c r="B56" s="496"/>
      <c r="C56" s="245">
        <f>+C49/C54</f>
        <v>23349.081025632709</v>
      </c>
      <c r="D56" s="245">
        <f>+D49/D54</f>
        <v>10750.062381959779</v>
      </c>
      <c r="E56" s="245">
        <f>+E49/E54</f>
        <v>-29418.865824383975</v>
      </c>
      <c r="F56" s="245">
        <f t="shared" ref="F56:L56" si="15">+F49/F54</f>
        <v>-23824.246136334277</v>
      </c>
      <c r="G56" s="245">
        <f t="shared" si="15"/>
        <v>-83.848062330856976</v>
      </c>
      <c r="H56" s="245">
        <f t="shared" si="15"/>
        <v>26771.737519884708</v>
      </c>
      <c r="I56" s="245">
        <f t="shared" si="15"/>
        <v>32646.401092759144</v>
      </c>
      <c r="J56" s="245">
        <f t="shared" si="15"/>
        <v>50807.176196498869</v>
      </c>
      <c r="K56" s="245">
        <f t="shared" si="15"/>
        <v>53074.598873354938</v>
      </c>
      <c r="L56" s="245">
        <f t="shared" si="15"/>
        <v>55604.794032554179</v>
      </c>
      <c r="M56" s="245">
        <f>+M49/L54</f>
        <v>89669.67831840388</v>
      </c>
      <c r="O56" s="373" t="s">
        <v>416</v>
      </c>
      <c r="P56" s="374">
        <f>+L56</f>
        <v>55604.794032554179</v>
      </c>
      <c r="Q56" s="374">
        <f t="shared" si="13"/>
        <v>164166.8466856165</v>
      </c>
      <c r="R56" s="377">
        <f>IF(Q56&gt;0,Q56/P56*12)</f>
        <v>35.428638744242946</v>
      </c>
    </row>
    <row r="57" spans="1:18" ht="11.25">
      <c r="A57" s="246"/>
      <c r="B57" s="5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O57" s="373" t="s">
        <v>438</v>
      </c>
      <c r="P57" s="374">
        <f>+M56</f>
        <v>89669.67831840388</v>
      </c>
      <c r="Q57" s="374">
        <f t="shared" si="13"/>
        <v>253836.52500402037</v>
      </c>
      <c r="R57" s="377">
        <f t="shared" si="11"/>
        <v>33.969546419383924</v>
      </c>
    </row>
    <row r="58" spans="1:18" ht="11.25">
      <c r="A58" s="64" t="s">
        <v>418</v>
      </c>
      <c r="B58" s="496"/>
      <c r="C58" s="245">
        <f>+C56</f>
        <v>23349.081025632709</v>
      </c>
      <c r="D58" s="245">
        <f>+SUM($C$56:D56)</f>
        <v>34099.143407592492</v>
      </c>
      <c r="E58" s="245">
        <f>+SUM($C$56:E56)</f>
        <v>4680.2775832085172</v>
      </c>
      <c r="F58" s="245">
        <f>+SUM($C$56:F56)</f>
        <v>-19143.96855312576</v>
      </c>
      <c r="G58" s="245">
        <f>+SUM($C$56:G56)</f>
        <v>-19227.816615456617</v>
      </c>
      <c r="H58" s="245">
        <f>+SUM($C$56:H56)</f>
        <v>7543.9209044280906</v>
      </c>
      <c r="I58" s="245">
        <f>+SUM($C$56:I56)</f>
        <v>40190.321997187231</v>
      </c>
      <c r="J58" s="245">
        <f>+SUM($C$56:J56)</f>
        <v>90997.4981936861</v>
      </c>
      <c r="K58" s="245">
        <f>+SUM($C$56:K56)</f>
        <v>144072.09706704103</v>
      </c>
      <c r="L58" s="245">
        <f>+SUM($C$56:L56)</f>
        <v>199676.8910995952</v>
      </c>
      <c r="M58" s="245">
        <f>+SUM($C$56:M56)</f>
        <v>289346.56941799907</v>
      </c>
      <c r="O58" s="70"/>
      <c r="P58" s="70"/>
      <c r="Q58" s="70"/>
      <c r="R58" s="70"/>
    </row>
    <row r="59" spans="1:18" ht="11.25">
      <c r="A59" s="54"/>
      <c r="B59" s="139"/>
      <c r="C59" s="254"/>
      <c r="D59" s="54"/>
      <c r="E59" s="54"/>
      <c r="F59" s="54"/>
      <c r="G59" s="54"/>
      <c r="H59" s="54"/>
      <c r="I59" s="54"/>
      <c r="J59" s="54"/>
      <c r="K59" s="244"/>
      <c r="L59" s="244"/>
      <c r="M59" s="244"/>
      <c r="O59" s="70"/>
      <c r="P59" s="70"/>
      <c r="Q59" s="70"/>
      <c r="R59" s="70"/>
    </row>
    <row r="60" spans="1:18" ht="11.25">
      <c r="A60" s="64" t="s">
        <v>420</v>
      </c>
      <c r="B60" s="496"/>
      <c r="C60" s="245">
        <f>M58</f>
        <v>289346.56941799907</v>
      </c>
      <c r="D60" s="255"/>
      <c r="E60" s="244"/>
      <c r="F60" s="244"/>
      <c r="G60" s="244"/>
      <c r="H60" s="244"/>
      <c r="I60" s="244"/>
      <c r="J60" s="256"/>
      <c r="K60" s="257"/>
      <c r="L60" s="255"/>
      <c r="M60" s="255"/>
      <c r="O60" s="404" t="s">
        <v>419</v>
      </c>
      <c r="P60" s="404"/>
      <c r="Q60" s="70"/>
      <c r="R60" s="70"/>
    </row>
    <row r="61" spans="1:18" ht="12">
      <c r="A61" s="54"/>
      <c r="B61" s="258"/>
      <c r="C61" s="244"/>
      <c r="D61" s="244"/>
      <c r="E61" s="244"/>
      <c r="F61" s="244"/>
      <c r="G61" s="244"/>
      <c r="H61" s="244"/>
      <c r="I61" s="244"/>
      <c r="J61" s="244"/>
      <c r="K61" s="244"/>
      <c r="L61" s="244"/>
      <c r="M61" s="244"/>
      <c r="N61" s="265"/>
      <c r="O61" s="378" t="s">
        <v>421</v>
      </c>
      <c r="P61" s="378"/>
      <c r="Q61" s="378"/>
      <c r="R61" s="405">
        <f>+($L$49*(1+Pressupostos!$B$38))/($M$53-Pressupostos!$B$38)</f>
        <v>1377631.0971359757</v>
      </c>
    </row>
    <row r="62" spans="1:18" ht="11.25">
      <c r="A62" s="64" t="s">
        <v>423</v>
      </c>
      <c r="B62" s="496"/>
      <c r="C62" s="259" t="e">
        <f>IRR(C49:M49,0.1)</f>
        <v>#NUM!</v>
      </c>
      <c r="D62" s="260"/>
      <c r="E62" s="260"/>
      <c r="F62" s="260"/>
      <c r="G62" s="260"/>
      <c r="H62" s="260"/>
      <c r="I62" s="260"/>
      <c r="J62" s="260"/>
      <c r="K62" s="260"/>
      <c r="L62" s="244"/>
      <c r="M62" s="244"/>
      <c r="N62" s="265"/>
      <c r="O62" s="379" t="s">
        <v>422</v>
      </c>
      <c r="P62" s="286"/>
      <c r="Q62" s="286"/>
      <c r="R62" s="396"/>
    </row>
    <row r="63" spans="1:18" ht="11.25">
      <c r="A63" s="54"/>
      <c r="B63" s="139"/>
      <c r="C63" s="260"/>
      <c r="D63" s="260"/>
      <c r="E63" s="260"/>
      <c r="F63" s="260"/>
      <c r="G63" s="260"/>
      <c r="H63" s="260"/>
      <c r="I63" s="260"/>
      <c r="J63" s="260"/>
      <c r="K63" s="260"/>
      <c r="L63" s="244"/>
      <c r="M63" s="244"/>
      <c r="N63" s="265"/>
      <c r="O63" s="586" t="s">
        <v>439</v>
      </c>
      <c r="P63" s="586"/>
      <c r="Q63" s="586"/>
      <c r="R63" s="587">
        <f>+Balanço!M33/(L54*(1+M53))</f>
        <v>179470.10619267364</v>
      </c>
    </row>
    <row r="64" spans="1:18" ht="11.25">
      <c r="A64" s="64" t="s">
        <v>430</v>
      </c>
      <c r="B64" s="496"/>
      <c r="C64" s="385">
        <f>COUNTIF(R51:R56,"falso")</f>
        <v>0</v>
      </c>
      <c r="D64" s="261" t="s">
        <v>426</v>
      </c>
      <c r="E64" s="260"/>
      <c r="F64" s="260"/>
      <c r="G64" s="260"/>
      <c r="H64" s="260"/>
      <c r="I64" s="260"/>
      <c r="J64" s="260"/>
      <c r="K64" s="260"/>
      <c r="L64" s="244"/>
      <c r="M64" s="244"/>
      <c r="N64" s="265"/>
      <c r="O64" s="586"/>
      <c r="P64" s="586"/>
      <c r="Q64" s="586"/>
      <c r="R64" s="588"/>
    </row>
    <row r="65" spans="1:19" ht="11.25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265"/>
      <c r="O65" s="70"/>
      <c r="P65" s="70"/>
      <c r="Q65" s="70"/>
      <c r="R65" s="266"/>
    </row>
    <row r="66" spans="1:19" ht="11.25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265"/>
      <c r="O66" s="70"/>
      <c r="P66" s="70"/>
      <c r="Q66" s="70"/>
      <c r="R66" s="266"/>
    </row>
    <row r="67" spans="1:19" ht="11.25">
      <c r="A67" s="54"/>
      <c r="B67" s="262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</row>
    <row r="68" spans="1:19" ht="11.25">
      <c r="A68" s="294" t="s">
        <v>440</v>
      </c>
      <c r="B68" s="294"/>
      <c r="C68" s="497">
        <f>+C27</f>
        <v>2020</v>
      </c>
      <c r="D68" s="291">
        <f>+C68+1</f>
        <v>2021</v>
      </c>
      <c r="E68" s="291">
        <f>+D68+1</f>
        <v>2022</v>
      </c>
      <c r="F68" s="291">
        <f>+E68+1</f>
        <v>2023</v>
      </c>
      <c r="G68" s="291">
        <f t="shared" ref="G68:L68" si="16">+F68+1</f>
        <v>2024</v>
      </c>
      <c r="H68" s="291">
        <f t="shared" si="16"/>
        <v>2025</v>
      </c>
      <c r="I68" s="291">
        <f t="shared" si="16"/>
        <v>2026</v>
      </c>
      <c r="J68" s="291">
        <f t="shared" si="16"/>
        <v>2027</v>
      </c>
      <c r="K68" s="291">
        <f t="shared" si="16"/>
        <v>2028</v>
      </c>
      <c r="L68" s="291">
        <f t="shared" si="16"/>
        <v>2029</v>
      </c>
      <c r="M68" s="54"/>
      <c r="O68" s="70"/>
      <c r="P68" s="70"/>
      <c r="Q68" s="70"/>
      <c r="R68" s="70"/>
      <c r="S68" s="70"/>
    </row>
    <row r="69" spans="1:19" ht="11.25">
      <c r="A69" s="290" t="s">
        <v>441</v>
      </c>
      <c r="B69" s="290"/>
      <c r="C69" s="292">
        <f>Balanço!C39+Balanço!C46</f>
        <v>100000</v>
      </c>
      <c r="D69" s="292">
        <f>Balanço!D39+Balanço!D46</f>
        <v>150000</v>
      </c>
      <c r="E69" s="292">
        <f>Balanço!E39+Balanço!E46</f>
        <v>130000</v>
      </c>
      <c r="F69" s="292">
        <f>Balanço!F39+Balanço!F46</f>
        <v>100000</v>
      </c>
      <c r="G69" s="292">
        <f>Balanço!G39+Balanço!G46</f>
        <v>70000</v>
      </c>
      <c r="H69" s="292">
        <f>Balanço!H39+Balanço!H46</f>
        <v>40000</v>
      </c>
      <c r="I69" s="292">
        <f>Balanço!I39+Balanço!I46</f>
        <v>10000</v>
      </c>
      <c r="J69" s="292">
        <f>Balanço!J39+Balanço!J46</f>
        <v>0</v>
      </c>
      <c r="K69" s="292">
        <f>Balanço!K39+Balanço!K46</f>
        <v>0</v>
      </c>
      <c r="L69" s="292">
        <f>Balanço!L39+Balanço!L46</f>
        <v>0</v>
      </c>
      <c r="M69" s="54"/>
    </row>
    <row r="70" spans="1:19" ht="11.25">
      <c r="A70" s="290" t="s">
        <v>442</v>
      </c>
      <c r="B70" s="290"/>
      <c r="C70" s="292">
        <f>+Balanço!C33</f>
        <v>-63729.750938140707</v>
      </c>
      <c r="D70" s="292">
        <f>+Balanço!D33</f>
        <v>-120346.19028034717</v>
      </c>
      <c r="E70" s="292">
        <f>+Balanço!E33</f>
        <v>-155232.32815906254</v>
      </c>
      <c r="F70" s="292">
        <f>+Balanço!F33</f>
        <v>-185293.28453917816</v>
      </c>
      <c r="G70" s="292">
        <f>+Balanço!G33</f>
        <v>-177327.87840728514</v>
      </c>
      <c r="H70" s="292">
        <f>+Balanço!H33</f>
        <v>-134243.52861055278</v>
      </c>
      <c r="I70" s="292">
        <f>+Balanço!I33</f>
        <v>-79279.038528445773</v>
      </c>
      <c r="J70" s="292">
        <f>+Balanço!J33</f>
        <v>11434.400208884021</v>
      </c>
      <c r="K70" s="292">
        <f>+Balanço!K33</f>
        <v>145244.48183705861</v>
      </c>
      <c r="L70" s="292">
        <f>+Balanço!L33</f>
        <v>263751.95359604538</v>
      </c>
      <c r="M70" s="54"/>
    </row>
    <row r="71" spans="1:19" ht="11.25">
      <c r="A71" s="289" t="s">
        <v>141</v>
      </c>
      <c r="B71" s="289"/>
      <c r="C71" s="292">
        <f>+C69+C70</f>
        <v>36270.249061859293</v>
      </c>
      <c r="D71" s="292">
        <f>+D69+D70</f>
        <v>29653.809719652825</v>
      </c>
      <c r="E71" s="292">
        <f t="shared" ref="E71:L71" si="17">+E69+E70</f>
        <v>-25232.328159062541</v>
      </c>
      <c r="F71" s="292">
        <f t="shared" si="17"/>
        <v>-85293.284539178159</v>
      </c>
      <c r="G71" s="292">
        <f t="shared" si="17"/>
        <v>-107327.87840728514</v>
      </c>
      <c r="H71" s="292">
        <f t="shared" si="17"/>
        <v>-94243.528610552778</v>
      </c>
      <c r="I71" s="292">
        <f t="shared" si="17"/>
        <v>-69279.038528445773</v>
      </c>
      <c r="J71" s="292">
        <f t="shared" si="17"/>
        <v>11434.400208884021</v>
      </c>
      <c r="K71" s="292">
        <f t="shared" si="17"/>
        <v>145244.48183705861</v>
      </c>
      <c r="L71" s="292">
        <f t="shared" si="17"/>
        <v>263751.95359604538</v>
      </c>
      <c r="M71" s="54"/>
    </row>
    <row r="72" spans="1:19" ht="11.25">
      <c r="A72" s="290" t="s">
        <v>443</v>
      </c>
      <c r="B72" s="290"/>
      <c r="C72" s="293">
        <f>+C69/C71</f>
        <v>2.7570805987422071</v>
      </c>
      <c r="D72" s="293">
        <f>+D69/D71</f>
        <v>5.058371973722779</v>
      </c>
      <c r="E72" s="293">
        <f t="shared" ref="E72:L72" si="18">+E69/E71</f>
        <v>-5.1521206913801452</v>
      </c>
      <c r="F72" s="293">
        <f t="shared" si="18"/>
        <v>-1.1724252447338517</v>
      </c>
      <c r="G72" s="293">
        <f t="shared" si="18"/>
        <v>-0.65220705970135506</v>
      </c>
      <c r="H72" s="293">
        <f t="shared" si="18"/>
        <v>-0.42443232537794706</v>
      </c>
      <c r="I72" s="293">
        <f t="shared" si="18"/>
        <v>-0.14434380459674001</v>
      </c>
      <c r="J72" s="293">
        <f t="shared" si="18"/>
        <v>0</v>
      </c>
      <c r="K72" s="293">
        <f t="shared" si="18"/>
        <v>0</v>
      </c>
      <c r="L72" s="293">
        <f t="shared" si="18"/>
        <v>0</v>
      </c>
      <c r="M72" s="54"/>
    </row>
    <row r="73" spans="1:19" ht="11.25">
      <c r="A73" s="290" t="s">
        <v>444</v>
      </c>
      <c r="B73" s="290"/>
      <c r="C73" s="293">
        <f>+C70/C71</f>
        <v>-1.7570805987422073</v>
      </c>
      <c r="D73" s="293">
        <f>+D70/D71</f>
        <v>-4.058371973722779</v>
      </c>
      <c r="E73" s="293">
        <f t="shared" ref="E73:L73" si="19">+E70/E71</f>
        <v>6.1521206913801452</v>
      </c>
      <c r="F73" s="293">
        <f t="shared" si="19"/>
        <v>2.1724252447338515</v>
      </c>
      <c r="G73" s="293">
        <f t="shared" si="19"/>
        <v>1.6522070597013552</v>
      </c>
      <c r="H73" s="293">
        <f t="shared" si="19"/>
        <v>1.4244323253779472</v>
      </c>
      <c r="I73" s="293">
        <f t="shared" si="19"/>
        <v>1.14434380459674</v>
      </c>
      <c r="J73" s="293">
        <f t="shared" si="19"/>
        <v>1</v>
      </c>
      <c r="K73" s="293">
        <f t="shared" si="19"/>
        <v>1</v>
      </c>
      <c r="L73" s="293">
        <f t="shared" si="19"/>
        <v>1</v>
      </c>
      <c r="M73" s="54"/>
    </row>
    <row r="74" spans="1:19" ht="11.25">
      <c r="A74" s="54"/>
      <c r="B74" s="54"/>
      <c r="C74" s="262"/>
      <c r="D74" s="54"/>
      <c r="E74" s="54"/>
      <c r="F74" s="54"/>
      <c r="G74" s="54"/>
      <c r="H74" s="54"/>
      <c r="I74" s="54"/>
      <c r="J74" s="54"/>
      <c r="K74" s="54"/>
      <c r="L74" s="54"/>
      <c r="M74" s="54"/>
    </row>
    <row r="75" spans="1:19" ht="11.25">
      <c r="A75" s="383" t="s">
        <v>445</v>
      </c>
      <c r="B75" s="383"/>
      <c r="C75" s="381">
        <f>+Pressupostos!B37*(1+(1-Pressupostos!B29)*(Avaliação!C69/Avaliação!C70))</f>
        <v>-0.1768443920767675</v>
      </c>
      <c r="D75" s="382">
        <f>+C75</f>
        <v>-0.1768443920767675</v>
      </c>
      <c r="E75" s="382">
        <f t="shared" ref="E75:L75" si="20">+D75</f>
        <v>-0.1768443920767675</v>
      </c>
      <c r="F75" s="382">
        <f t="shared" si="20"/>
        <v>-0.1768443920767675</v>
      </c>
      <c r="G75" s="382">
        <f t="shared" si="20"/>
        <v>-0.1768443920767675</v>
      </c>
      <c r="H75" s="382">
        <f t="shared" si="20"/>
        <v>-0.1768443920767675</v>
      </c>
      <c r="I75" s="382">
        <f t="shared" si="20"/>
        <v>-0.1768443920767675</v>
      </c>
      <c r="J75" s="382">
        <f t="shared" si="20"/>
        <v>-0.1768443920767675</v>
      </c>
      <c r="K75" s="382">
        <f t="shared" si="20"/>
        <v>-0.1768443920767675</v>
      </c>
      <c r="L75" s="382">
        <f t="shared" si="20"/>
        <v>-0.1768443920767675</v>
      </c>
      <c r="M75" s="54"/>
    </row>
    <row r="76" spans="1:19" ht="11.25">
      <c r="A76" s="288" t="s">
        <v>446</v>
      </c>
      <c r="B76" s="288"/>
      <c r="C76" s="262"/>
      <c r="D76" s="54"/>
      <c r="E76" s="54"/>
      <c r="F76" s="54"/>
      <c r="G76" s="54"/>
      <c r="H76" s="54"/>
      <c r="I76" s="54"/>
      <c r="J76" s="54"/>
      <c r="K76" s="54"/>
      <c r="L76" s="54"/>
      <c r="M76" s="54"/>
    </row>
    <row r="77" spans="1:19" ht="11.25">
      <c r="A77" s="290" t="s">
        <v>447</v>
      </c>
      <c r="B77" s="290"/>
      <c r="C77" s="293">
        <f>+Pressupostos!$B$33</f>
        <v>0.05</v>
      </c>
      <c r="D77" s="293">
        <f>+Pressupostos!$B$33</f>
        <v>0.05</v>
      </c>
      <c r="E77" s="293">
        <f>+Pressupostos!$B$33</f>
        <v>0.05</v>
      </c>
      <c r="F77" s="293">
        <f>+Pressupostos!$B$33</f>
        <v>0.05</v>
      </c>
      <c r="G77" s="293">
        <f>+Pressupostos!$B$33</f>
        <v>0.05</v>
      </c>
      <c r="H77" s="293">
        <f>+Pressupostos!$B$33</f>
        <v>0.05</v>
      </c>
      <c r="I77" s="293">
        <f>+Pressupostos!$B$33</f>
        <v>0.05</v>
      </c>
      <c r="J77" s="293">
        <f>+Pressupostos!$B$33</f>
        <v>0.05</v>
      </c>
      <c r="K77" s="293">
        <f>+Pressupostos!$B$33</f>
        <v>0.05</v>
      </c>
      <c r="L77" s="293">
        <f>+Pressupostos!$B$33</f>
        <v>0.05</v>
      </c>
      <c r="M77" s="54"/>
    </row>
    <row r="78" spans="1:19" ht="11.25">
      <c r="A78" s="290" t="s">
        <v>448</v>
      </c>
      <c r="B78" s="290"/>
      <c r="C78" s="293">
        <f>C77*(1-Pressupostos!$B$29)</f>
        <v>3.7500000000000006E-2</v>
      </c>
      <c r="D78" s="293">
        <f>D77*(1-Pressupostos!$B$29)</f>
        <v>3.7500000000000006E-2</v>
      </c>
      <c r="E78" s="293">
        <f>E77*(1-Pressupostos!$B$29)</f>
        <v>3.7500000000000006E-2</v>
      </c>
      <c r="F78" s="293">
        <f>F77*(1-Pressupostos!$B$29)</f>
        <v>3.7500000000000006E-2</v>
      </c>
      <c r="G78" s="293">
        <f>G77*(1-Pressupostos!$B$29)</f>
        <v>3.7500000000000006E-2</v>
      </c>
      <c r="H78" s="293">
        <f>H77*(1-Pressupostos!$B$29)</f>
        <v>3.7500000000000006E-2</v>
      </c>
      <c r="I78" s="293">
        <f>I77*(1-Pressupostos!$B$29)</f>
        <v>3.7500000000000006E-2</v>
      </c>
      <c r="J78" s="293">
        <f>J77*(1-Pressupostos!$B$29)</f>
        <v>3.7500000000000006E-2</v>
      </c>
      <c r="K78" s="293">
        <f>K77*(1-Pressupostos!$B$29)</f>
        <v>3.7500000000000006E-2</v>
      </c>
      <c r="L78" s="293">
        <f>L77*(1-Pressupostos!$B$29)</f>
        <v>3.7500000000000006E-2</v>
      </c>
      <c r="M78" s="54"/>
    </row>
    <row r="79" spans="1:19" ht="11.25">
      <c r="A79" s="290" t="s">
        <v>449</v>
      </c>
      <c r="B79" s="290"/>
      <c r="C79" s="293">
        <f>(C51+(C75*Pressupostos!$B$36))</f>
        <v>2.0157780396161624E-2</v>
      </c>
      <c r="D79" s="293">
        <f>(D51+(D75*Pressupostos!$B$36))</f>
        <v>2.0447780396161623E-2</v>
      </c>
      <c r="E79" s="293">
        <f>(E51+(E75*Pressupostos!$B$36))</f>
        <v>2.0740680396161622E-2</v>
      </c>
      <c r="F79" s="293">
        <f>(F51+(F75*Pressupostos!$B$36))</f>
        <v>2.1036509396161626E-2</v>
      </c>
      <c r="G79" s="293">
        <f>(G51+(G75*Pressupostos!$B$36))</f>
        <v>2.1335296686161624E-2</v>
      </c>
      <c r="H79" s="293">
        <f>(H51+(H75*Pressupostos!$B$36))</f>
        <v>2.1637071849061627E-2</v>
      </c>
      <c r="I79" s="293">
        <f>(I51+(I75*Pressupostos!$B$36))</f>
        <v>2.1637071849061627E-2</v>
      </c>
      <c r="J79" s="293">
        <f>(J51+(J75*Pressupostos!$B$36))</f>
        <v>2.1637071849061627E-2</v>
      </c>
      <c r="K79" s="293">
        <f>(K51+(K75*Pressupostos!$B$36))</f>
        <v>2.1637071849061627E-2</v>
      </c>
      <c r="L79" s="293">
        <f>(L51+(L75*Pressupostos!$B$36))</f>
        <v>2.1637071849061627E-2</v>
      </c>
      <c r="M79" s="54"/>
    </row>
    <row r="80" spans="1:19" ht="11.25">
      <c r="A80" s="290" t="s">
        <v>450</v>
      </c>
      <c r="B80" s="290"/>
      <c r="C80" s="293">
        <f>(C72*C78)+(C73*C79)</f>
        <v>6.7971677605031186E-2</v>
      </c>
      <c r="D80" s="293">
        <f>(D72*D78)+(D73*D79)</f>
        <v>0.10670425012998383</v>
      </c>
      <c r="E80" s="293">
        <f t="shared" ref="E80:L80" si="21">(E72*E78)+(E73*E79)</f>
        <v>-6.5605356908226997E-2</v>
      </c>
      <c r="F80" s="293">
        <f t="shared" si="21"/>
        <v>1.7342973957829438E-3</v>
      </c>
      <c r="G80" s="293">
        <f t="shared" si="21"/>
        <v>1.0792563066898346E-2</v>
      </c>
      <c r="H80" s="293">
        <f t="shared" si="21"/>
        <v>1.4904332366655556E-2</v>
      </c>
      <c r="I80" s="293">
        <f t="shared" si="21"/>
        <v>1.9347356447710448E-2</v>
      </c>
      <c r="J80" s="293">
        <f t="shared" si="21"/>
        <v>2.1637071849061627E-2</v>
      </c>
      <c r="K80" s="293">
        <f t="shared" si="21"/>
        <v>2.1637071849061627E-2</v>
      </c>
      <c r="L80" s="293">
        <f t="shared" si="21"/>
        <v>2.1637071849061627E-2</v>
      </c>
      <c r="M80" s="54"/>
    </row>
    <row r="81" spans="1:13" ht="11.25">
      <c r="A81" s="54"/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54"/>
      <c r="M81" s="54"/>
    </row>
    <row r="82" spans="1:13" ht="11.25">
      <c r="A82" s="54"/>
      <c r="B82" s="262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</row>
  </sheetData>
  <sheetProtection password="8318" sheet="1"/>
  <mergeCells count="13">
    <mergeCell ref="A4:M4"/>
    <mergeCell ref="A47:B47"/>
    <mergeCell ref="O39:Q40"/>
    <mergeCell ref="R39:R40"/>
    <mergeCell ref="O63:Q64"/>
    <mergeCell ref="R63:R64"/>
    <mergeCell ref="A7:B7"/>
    <mergeCell ref="O20:Q21"/>
    <mergeCell ref="R20:R21"/>
    <mergeCell ref="A27:B27"/>
    <mergeCell ref="N8:N10"/>
    <mergeCell ref="N28:N30"/>
    <mergeCell ref="N48:N5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5" orientation="portrait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lha6">
    <pageSetUpPr fitToPage="1"/>
  </sheetPr>
  <dimension ref="A1:H98"/>
  <sheetViews>
    <sheetView showGridLines="0" showZeros="0" topLeftCell="A73" zoomScale="150" zoomScaleNormal="150" workbookViewId="0">
      <selection activeCell="F89" sqref="F89"/>
    </sheetView>
  </sheetViews>
  <sheetFormatPr defaultColWidth="8.85546875" defaultRowHeight="11.1"/>
  <cols>
    <col min="1" max="1" width="42.140625" style="63" customWidth="1"/>
    <col min="2" max="2" width="13.85546875" style="63" bestFit="1" customWidth="1"/>
    <col min="3" max="10" width="11.42578125" style="63" customWidth="1"/>
    <col min="11" max="16384" width="8.85546875" style="63"/>
  </cols>
  <sheetData>
    <row r="1" spans="1:8" ht="11.25">
      <c r="A1" s="54"/>
      <c r="B1" s="54"/>
      <c r="C1" s="229"/>
      <c r="D1" s="229"/>
      <c r="E1" s="229"/>
      <c r="F1" s="229"/>
      <c r="G1" s="230" t="s">
        <v>30</v>
      </c>
      <c r="H1" s="329" t="str">
        <f>+Pressupostos!E1</f>
        <v>DUQUESA</v>
      </c>
    </row>
    <row r="2" spans="1:8" s="234" customFormat="1" ht="11.25">
      <c r="A2" s="232"/>
      <c r="B2" s="232"/>
      <c r="C2" s="232"/>
      <c r="D2" s="232"/>
      <c r="E2" s="47"/>
      <c r="F2" s="47"/>
      <c r="G2" s="47"/>
      <c r="H2" s="233"/>
    </row>
    <row r="3" spans="1:8" s="234" customFormat="1" ht="11.25">
      <c r="A3" s="232"/>
      <c r="B3" s="232"/>
      <c r="C3" s="232"/>
      <c r="D3" s="232"/>
      <c r="E3" s="47"/>
      <c r="F3" s="47"/>
      <c r="G3" s="47"/>
      <c r="H3" s="233"/>
    </row>
    <row r="4" spans="1:8" ht="15.75">
      <c r="A4" s="526" t="s">
        <v>451</v>
      </c>
      <c r="B4" s="526"/>
      <c r="C4" s="526"/>
      <c r="D4" s="526"/>
      <c r="E4" s="526"/>
      <c r="F4" s="526"/>
      <c r="G4" s="526"/>
      <c r="H4" s="526"/>
    </row>
    <row r="5" spans="1:8" ht="11.25">
      <c r="A5" s="54"/>
      <c r="B5" s="139"/>
      <c r="C5" s="54"/>
      <c r="D5" s="54"/>
      <c r="E5" s="54"/>
      <c r="F5" s="54"/>
      <c r="G5" s="54"/>
      <c r="H5" s="54"/>
    </row>
    <row r="6" spans="1:8" ht="11.25">
      <c r="A6" s="330" t="s">
        <v>452</v>
      </c>
      <c r="B6" s="139"/>
      <c r="C6" s="54"/>
      <c r="D6" s="54"/>
      <c r="E6" s="54"/>
      <c r="F6" s="54"/>
      <c r="G6" s="54"/>
      <c r="H6" s="54"/>
    </row>
    <row r="7" spans="1:8" ht="11.25">
      <c r="A7" s="498" t="s">
        <v>453</v>
      </c>
      <c r="B7" s="469" t="s">
        <v>454</v>
      </c>
      <c r="C7" s="331" t="s">
        <v>455</v>
      </c>
      <c r="D7" s="331"/>
      <c r="E7" s="331"/>
      <c r="F7" s="331"/>
      <c r="G7" s="331"/>
      <c r="H7" s="54"/>
    </row>
    <row r="8" spans="1:8" ht="11.25">
      <c r="A8" s="467" t="s">
        <v>456</v>
      </c>
      <c r="B8" s="333" t="s">
        <v>457</v>
      </c>
      <c r="C8" s="470">
        <v>5</v>
      </c>
      <c r="D8" s="333"/>
      <c r="E8" s="333"/>
      <c r="F8" s="333"/>
      <c r="G8" s="333"/>
      <c r="H8" s="54"/>
    </row>
    <row r="9" spans="1:8" ht="11.25">
      <c r="A9" s="467" t="s">
        <v>458</v>
      </c>
      <c r="B9" s="333" t="s">
        <v>457</v>
      </c>
      <c r="C9" s="474">
        <v>2.4E-2</v>
      </c>
      <c r="D9" s="333"/>
      <c r="E9" s="333"/>
      <c r="F9" s="333"/>
      <c r="G9" s="333"/>
      <c r="H9" s="54"/>
    </row>
    <row r="10" spans="1:8" ht="11.25">
      <c r="A10" s="467" t="s">
        <v>459</v>
      </c>
      <c r="B10" s="333" t="s">
        <v>457</v>
      </c>
      <c r="C10" s="477">
        <v>1.15E-2</v>
      </c>
      <c r="D10" s="40"/>
      <c r="E10" s="40"/>
      <c r="F10" s="40"/>
      <c r="G10" s="40"/>
      <c r="H10" s="54"/>
    </row>
    <row r="11" spans="1:8" ht="11.25">
      <c r="A11" s="467" t="s">
        <v>460</v>
      </c>
      <c r="B11" s="333" t="s">
        <v>457</v>
      </c>
      <c r="C11" s="476">
        <v>1E-3</v>
      </c>
      <c r="D11" s="40"/>
      <c r="E11" s="40"/>
      <c r="F11" s="40"/>
      <c r="G11" s="40"/>
      <c r="H11" s="197"/>
    </row>
    <row r="12" spans="1:8" ht="11.25">
      <c r="A12" s="467" t="s">
        <v>206</v>
      </c>
      <c r="B12" s="333" t="s">
        <v>461</v>
      </c>
      <c r="C12" s="468">
        <v>38</v>
      </c>
      <c r="D12" s="40"/>
      <c r="E12" s="40"/>
      <c r="F12" s="40"/>
      <c r="G12" s="40"/>
      <c r="H12" s="197"/>
    </row>
    <row r="13" spans="1:8" ht="11.25">
      <c r="A13" s="471" t="s">
        <v>462</v>
      </c>
      <c r="B13" s="468" t="s">
        <v>463</v>
      </c>
      <c r="C13" s="479">
        <v>2.5000000000000001E-2</v>
      </c>
      <c r="D13" s="40"/>
      <c r="E13" s="40"/>
      <c r="F13" s="40"/>
      <c r="G13" s="40"/>
      <c r="H13" s="197"/>
    </row>
    <row r="14" spans="1:8" ht="11.25">
      <c r="A14" s="471" t="s">
        <v>464</v>
      </c>
      <c r="B14" s="40" t="s">
        <v>463</v>
      </c>
      <c r="C14" s="479">
        <v>2.5000000000000001E-2</v>
      </c>
      <c r="D14" s="40"/>
      <c r="E14" s="40"/>
      <c r="F14" s="40"/>
      <c r="G14" s="40"/>
      <c r="H14" s="197"/>
    </row>
    <row r="15" spans="1:8" ht="11.25">
      <c r="A15" s="467" t="s">
        <v>465</v>
      </c>
      <c r="B15" s="40" t="s">
        <v>463</v>
      </c>
      <c r="C15" s="478">
        <f>0.25</f>
        <v>0.25</v>
      </c>
      <c r="D15" s="40"/>
      <c r="E15" s="40"/>
      <c r="F15" s="40"/>
      <c r="G15" s="40"/>
      <c r="H15" s="197"/>
    </row>
    <row r="16" spans="1:8" ht="11.25">
      <c r="A16" s="467" t="s">
        <v>466</v>
      </c>
      <c r="B16" s="40" t="s">
        <v>467</v>
      </c>
      <c r="C16" s="475">
        <f>0.31 * (25/0.33)</f>
        <v>23.484848484848481</v>
      </c>
      <c r="D16" s="40"/>
      <c r="E16" s="40"/>
      <c r="F16" s="40"/>
      <c r="G16" s="40"/>
      <c r="H16" s="197"/>
    </row>
    <row r="17" spans="1:8" ht="11.25">
      <c r="A17" s="471" t="s">
        <v>468</v>
      </c>
      <c r="B17" s="40" t="s">
        <v>467</v>
      </c>
      <c r="C17" s="478">
        <f>0.02 * (25/0.33)</f>
        <v>1.5151515151515151</v>
      </c>
      <c r="D17" s="40"/>
      <c r="E17" s="40"/>
      <c r="F17" s="40"/>
      <c r="G17" s="40"/>
      <c r="H17" s="197"/>
    </row>
    <row r="18" spans="1:8" ht="11.25">
      <c r="A18" s="334"/>
      <c r="B18" s="40"/>
      <c r="C18" s="40"/>
      <c r="D18" s="40"/>
      <c r="E18" s="40"/>
      <c r="F18" s="40"/>
      <c r="G18" s="40"/>
      <c r="H18" s="197"/>
    </row>
    <row r="19" spans="1:8" ht="11.25">
      <c r="A19" s="334"/>
      <c r="B19" s="40"/>
      <c r="C19" s="40"/>
      <c r="D19" s="40"/>
      <c r="E19" s="40"/>
      <c r="F19" s="40"/>
      <c r="G19" s="40"/>
      <c r="H19" s="197"/>
    </row>
    <row r="20" spans="1:8" ht="11.25">
      <c r="A20" s="332"/>
      <c r="B20" s="336"/>
      <c r="C20" s="336"/>
      <c r="D20" s="336"/>
      <c r="E20" s="336"/>
      <c r="F20" s="336"/>
      <c r="G20" s="336"/>
      <c r="H20" s="197"/>
    </row>
    <row r="21" spans="1:8" ht="11.25">
      <c r="A21" s="334"/>
      <c r="B21" s="337"/>
      <c r="C21" s="338"/>
      <c r="D21" s="338"/>
      <c r="E21" s="338"/>
      <c r="F21" s="339"/>
      <c r="G21" s="339"/>
      <c r="H21" s="197"/>
    </row>
    <row r="22" spans="1:8" ht="11.25">
      <c r="A22" s="139"/>
      <c r="B22" s="340"/>
      <c r="C22" s="340"/>
      <c r="D22" s="340"/>
      <c r="E22" s="340"/>
      <c r="F22" s="340"/>
      <c r="G22" s="197"/>
      <c r="H22" s="197"/>
    </row>
    <row r="23" spans="1:8" ht="11.25">
      <c r="A23" s="139"/>
      <c r="B23" s="340"/>
      <c r="C23" s="340"/>
      <c r="D23" s="340"/>
      <c r="E23" s="340"/>
      <c r="F23" s="340"/>
      <c r="G23" s="197"/>
      <c r="H23" s="197"/>
    </row>
    <row r="24" spans="1:8" ht="11.25">
      <c r="A24" s="330" t="s">
        <v>469</v>
      </c>
      <c r="B24" s="139"/>
      <c r="C24" s="54"/>
      <c r="D24" s="54"/>
      <c r="E24" s="54"/>
      <c r="F24" s="54"/>
      <c r="G24" s="197"/>
      <c r="H24" s="197" t="s">
        <v>470</v>
      </c>
    </row>
    <row r="25" spans="1:8" ht="11.25">
      <c r="A25" s="498" t="s">
        <v>471</v>
      </c>
      <c r="B25" s="499"/>
      <c r="C25" s="331">
        <f>+Pressupostos!B11</f>
        <v>2020</v>
      </c>
      <c r="D25" s="331">
        <f>+C25+1</f>
        <v>2021</v>
      </c>
      <c r="E25" s="331">
        <f>+D25+1</f>
        <v>2022</v>
      </c>
      <c r="F25" s="331">
        <f>+E25+1</f>
        <v>2023</v>
      </c>
      <c r="G25" s="331">
        <f>+F25+1</f>
        <v>2024</v>
      </c>
      <c r="H25" s="331">
        <f>+G25+1</f>
        <v>2025</v>
      </c>
    </row>
    <row r="26" spans="1:8" ht="11.25">
      <c r="A26" s="595" t="s">
        <v>472</v>
      </c>
      <c r="B26" s="596"/>
      <c r="C26" s="333">
        <f>VN!C14</f>
        <v>6000</v>
      </c>
      <c r="D26" s="333">
        <f>VN!D14</f>
        <v>10800</v>
      </c>
      <c r="E26" s="333">
        <f>VN!E14</f>
        <v>18360</v>
      </c>
      <c r="F26" s="333">
        <f>VN!F14</f>
        <v>27540</v>
      </c>
      <c r="G26" s="333">
        <f>VN!G14</f>
        <v>38556</v>
      </c>
      <c r="H26" s="333">
        <f>VN!H14</f>
        <v>50122.8</v>
      </c>
    </row>
    <row r="27" spans="1:8" ht="12.95" customHeight="1">
      <c r="A27" s="601" t="s">
        <v>473</v>
      </c>
      <c r="B27" s="602"/>
      <c r="C27" s="40">
        <v>0</v>
      </c>
      <c r="D27" s="40">
        <v>0</v>
      </c>
      <c r="E27" s="40">
        <f>VN!E18</f>
        <v>2000</v>
      </c>
      <c r="F27" s="40">
        <f>VN!F18</f>
        <v>4000</v>
      </c>
      <c r="G27" s="40">
        <f>VN!G18</f>
        <v>7200</v>
      </c>
      <c r="H27" s="40">
        <f>VN!H18</f>
        <v>11520</v>
      </c>
    </row>
    <row r="28" spans="1:8" ht="11.25">
      <c r="A28" s="601" t="s">
        <v>474</v>
      </c>
      <c r="B28" s="602"/>
      <c r="C28" s="40">
        <v>0</v>
      </c>
      <c r="D28" s="40">
        <v>0</v>
      </c>
      <c r="E28" s="40">
        <v>0</v>
      </c>
      <c r="F28" s="40">
        <f>VN!F22</f>
        <v>1500</v>
      </c>
      <c r="G28" s="40">
        <v>2000</v>
      </c>
      <c r="H28" s="40">
        <v>3600</v>
      </c>
    </row>
    <row r="29" spans="1:8" ht="11.25">
      <c r="A29" s="489"/>
      <c r="B29" s="341"/>
      <c r="C29" s="40"/>
      <c r="D29" s="40"/>
      <c r="E29" s="40"/>
      <c r="F29" s="40"/>
      <c r="G29" s="40"/>
      <c r="H29" s="40"/>
    </row>
    <row r="30" spans="1:8" ht="11.25">
      <c r="A30" s="334"/>
      <c r="B30" s="341"/>
      <c r="C30" s="40"/>
      <c r="D30" s="40"/>
      <c r="E30" s="40"/>
      <c r="F30" s="40"/>
      <c r="G30" s="40"/>
      <c r="H30" s="40"/>
    </row>
    <row r="31" spans="1:8" ht="11.25">
      <c r="A31" s="334"/>
      <c r="B31" s="341"/>
      <c r="C31" s="40"/>
      <c r="D31" s="40"/>
      <c r="E31" s="40"/>
      <c r="F31" s="40"/>
      <c r="G31" s="40"/>
      <c r="H31" s="40"/>
    </row>
    <row r="32" spans="1:8" ht="11.25">
      <c r="A32" s="335"/>
      <c r="B32" s="341"/>
      <c r="C32" s="40"/>
      <c r="D32" s="40"/>
      <c r="E32" s="40"/>
      <c r="F32" s="40"/>
      <c r="G32" s="40"/>
      <c r="H32" s="40"/>
    </row>
    <row r="33" spans="1:8" ht="11.25">
      <c r="A33" s="597" t="s">
        <v>141</v>
      </c>
      <c r="B33" s="598"/>
      <c r="C33" s="342">
        <f t="shared" ref="C33:H33" si="0">+SUM(C26:C32)</f>
        <v>6000</v>
      </c>
      <c r="D33" s="342">
        <f t="shared" si="0"/>
        <v>10800</v>
      </c>
      <c r="E33" s="342">
        <f t="shared" si="0"/>
        <v>20360</v>
      </c>
      <c r="F33" s="342">
        <f t="shared" si="0"/>
        <v>33040</v>
      </c>
      <c r="G33" s="342">
        <f t="shared" si="0"/>
        <v>47756</v>
      </c>
      <c r="H33" s="342">
        <f t="shared" si="0"/>
        <v>65242.8</v>
      </c>
    </row>
    <row r="34" spans="1:8" ht="11.25">
      <c r="A34" s="148"/>
      <c r="B34" s="343"/>
      <c r="C34" s="156"/>
      <c r="D34" s="156"/>
      <c r="E34" s="156"/>
      <c r="F34" s="156"/>
      <c r="G34" s="197"/>
      <c r="H34" s="197"/>
    </row>
    <row r="35" spans="1:8" ht="11.25">
      <c r="A35" s="330" t="s">
        <v>475</v>
      </c>
      <c r="B35" s="139"/>
      <c r="C35" s="54"/>
      <c r="D35" s="54"/>
      <c r="E35" s="54"/>
      <c r="F35" s="54"/>
      <c r="G35" s="197"/>
      <c r="H35" s="197" t="s">
        <v>470</v>
      </c>
    </row>
    <row r="36" spans="1:8" ht="11.25">
      <c r="A36" s="597" t="s">
        <v>476</v>
      </c>
      <c r="B36" s="598"/>
      <c r="C36" s="331">
        <f t="shared" ref="C36:H36" si="1">+C25</f>
        <v>2020</v>
      </c>
      <c r="D36" s="331">
        <f t="shared" si="1"/>
        <v>2021</v>
      </c>
      <c r="E36" s="331">
        <f t="shared" si="1"/>
        <v>2022</v>
      </c>
      <c r="F36" s="331">
        <f t="shared" si="1"/>
        <v>2023</v>
      </c>
      <c r="G36" s="331">
        <f t="shared" si="1"/>
        <v>2024</v>
      </c>
      <c r="H36" s="331">
        <f t="shared" si="1"/>
        <v>2025</v>
      </c>
    </row>
    <row r="37" spans="1:8" ht="11.1" customHeight="1">
      <c r="A37" s="599" t="s">
        <v>456</v>
      </c>
      <c r="B37" s="600"/>
      <c r="C37" s="333">
        <f>C$33*0.33*1.2/25*$C8</f>
        <v>475.20000000000005</v>
      </c>
      <c r="D37" s="333">
        <f t="shared" ref="D37:H37" si="2">D$33*0.33*1.2/25*$C8</f>
        <v>855.36</v>
      </c>
      <c r="E37" s="333">
        <f t="shared" si="2"/>
        <v>1612.5119999999997</v>
      </c>
      <c r="F37" s="333">
        <f t="shared" si="2"/>
        <v>2616.768</v>
      </c>
      <c r="G37" s="333">
        <f t="shared" si="2"/>
        <v>3782.2752</v>
      </c>
      <c r="H37" s="333">
        <f t="shared" si="2"/>
        <v>5167.2297600000002</v>
      </c>
    </row>
    <row r="38" spans="1:8" ht="11.1" customHeight="1">
      <c r="A38" s="599" t="s">
        <v>458</v>
      </c>
      <c r="B38" s="600"/>
      <c r="C38" s="333">
        <f t="shared" ref="C38:H41" si="3">C$33*0.33*1.2/25*$C9</f>
        <v>2.2809600000000003</v>
      </c>
      <c r="D38" s="333">
        <f t="shared" si="3"/>
        <v>4.105728</v>
      </c>
      <c r="E38" s="333">
        <f t="shared" si="3"/>
        <v>7.7400575999999992</v>
      </c>
      <c r="F38" s="333">
        <f t="shared" si="3"/>
        <v>12.5604864</v>
      </c>
      <c r="G38" s="333">
        <f t="shared" si="3"/>
        <v>18.154920960000002</v>
      </c>
      <c r="H38" s="333">
        <f t="shared" si="3"/>
        <v>24.802702848000003</v>
      </c>
    </row>
    <row r="39" spans="1:8" ht="11.1" customHeight="1">
      <c r="A39" s="599" t="s">
        <v>477</v>
      </c>
      <c r="B39" s="600"/>
      <c r="C39" s="333">
        <f t="shared" si="3"/>
        <v>1.0929600000000002</v>
      </c>
      <c r="D39" s="333">
        <f t="shared" si="3"/>
        <v>1.967328</v>
      </c>
      <c r="E39" s="333">
        <f t="shared" si="3"/>
        <v>3.7087775999999995</v>
      </c>
      <c r="F39" s="333">
        <f t="shared" si="3"/>
        <v>6.0185664000000001</v>
      </c>
      <c r="G39" s="333">
        <f t="shared" si="3"/>
        <v>8.6992329599999998</v>
      </c>
      <c r="H39" s="333">
        <f t="shared" si="3"/>
        <v>11.884628448000001</v>
      </c>
    </row>
    <row r="40" spans="1:8" ht="11.1" customHeight="1">
      <c r="A40" s="599" t="s">
        <v>460</v>
      </c>
      <c r="B40" s="600"/>
      <c r="C40" s="333">
        <f t="shared" si="3"/>
        <v>9.5040000000000013E-2</v>
      </c>
      <c r="D40" s="333">
        <f t="shared" si="3"/>
        <v>0.171072</v>
      </c>
      <c r="E40" s="333">
        <f t="shared" si="3"/>
        <v>0.32250239999999997</v>
      </c>
      <c r="F40" s="333">
        <f t="shared" si="3"/>
        <v>0.52335360000000009</v>
      </c>
      <c r="G40" s="333">
        <f t="shared" si="3"/>
        <v>0.75645504000000008</v>
      </c>
      <c r="H40" s="333">
        <f t="shared" si="3"/>
        <v>1.0334459520000001</v>
      </c>
    </row>
    <row r="41" spans="1:8" ht="11.1" customHeight="1">
      <c r="A41" s="599" t="s">
        <v>206</v>
      </c>
      <c r="B41" s="600"/>
      <c r="C41" s="333">
        <f t="shared" si="3"/>
        <v>3611.5200000000004</v>
      </c>
      <c r="D41" s="333">
        <f t="shared" si="3"/>
        <v>6500.7359999999999</v>
      </c>
      <c r="E41" s="333">
        <f t="shared" si="3"/>
        <v>12255.091199999999</v>
      </c>
      <c r="F41" s="333">
        <f t="shared" si="3"/>
        <v>19887.436799999999</v>
      </c>
      <c r="G41" s="333">
        <f t="shared" ref="G41:H41" si="4">G$33*0.33*1.2/25*$C12</f>
        <v>28745.291520000002</v>
      </c>
      <c r="H41" s="333">
        <f t="shared" si="4"/>
        <v>39270.946175999998</v>
      </c>
    </row>
    <row r="42" spans="1:8" ht="11.1" customHeight="1">
      <c r="A42" s="599" t="s">
        <v>462</v>
      </c>
      <c r="B42" s="600"/>
      <c r="C42" s="472">
        <f t="shared" ref="C42:H42" si="5">C$27*0.33*1.2/25*$C13</f>
        <v>0</v>
      </c>
      <c r="D42" s="472">
        <f t="shared" si="5"/>
        <v>0</v>
      </c>
      <c r="E42" s="466">
        <f t="shared" si="5"/>
        <v>0.79200000000000004</v>
      </c>
      <c r="F42" s="472">
        <f t="shared" si="5"/>
        <v>1.5840000000000001</v>
      </c>
      <c r="G42" s="472">
        <f t="shared" si="5"/>
        <v>2.8512</v>
      </c>
      <c r="H42" s="472">
        <f t="shared" si="5"/>
        <v>4.5619199999999998</v>
      </c>
    </row>
    <row r="43" spans="1:8" ht="11.1" customHeight="1">
      <c r="A43" s="599" t="s">
        <v>464</v>
      </c>
      <c r="B43" s="600"/>
      <c r="C43" s="472">
        <f t="shared" ref="C43:H43" si="6">(C$28)*0.33*1.2/25*$C14</f>
        <v>0</v>
      </c>
      <c r="D43" s="472">
        <f t="shared" si="6"/>
        <v>0</v>
      </c>
      <c r="E43" s="472">
        <f t="shared" si="6"/>
        <v>0</v>
      </c>
      <c r="F43" s="466">
        <f t="shared" si="6"/>
        <v>0.59400000000000008</v>
      </c>
      <c r="G43" s="466">
        <f t="shared" si="6"/>
        <v>0.79200000000000004</v>
      </c>
      <c r="H43" s="466">
        <f t="shared" si="6"/>
        <v>1.4256</v>
      </c>
    </row>
    <row r="44" spans="1:8" ht="11.1" customHeight="1">
      <c r="A44" s="599" t="s">
        <v>478</v>
      </c>
      <c r="B44" s="600"/>
      <c r="C44" s="333">
        <f t="shared" ref="C44:H44" si="7">C33*$C$15/25</f>
        <v>60</v>
      </c>
      <c r="D44" s="333">
        <f t="shared" si="7"/>
        <v>108</v>
      </c>
      <c r="E44" s="333">
        <f t="shared" si="7"/>
        <v>203.6</v>
      </c>
      <c r="F44" s="333">
        <f t="shared" si="7"/>
        <v>330.4</v>
      </c>
      <c r="G44" s="333">
        <f t="shared" si="7"/>
        <v>477.56</v>
      </c>
      <c r="H44" s="333">
        <f t="shared" si="7"/>
        <v>652.428</v>
      </c>
    </row>
    <row r="45" spans="1:8" ht="11.25">
      <c r="A45" s="344"/>
      <c r="B45" s="500" t="s">
        <v>466</v>
      </c>
      <c r="C45" s="333">
        <f t="shared" ref="C45:H45" si="8">C33*$C$16/25</f>
        <v>5636.3636363636351</v>
      </c>
      <c r="D45" s="333">
        <f t="shared" si="8"/>
        <v>10145.454545454544</v>
      </c>
      <c r="E45" s="333">
        <f t="shared" si="8"/>
        <v>19126.060606060604</v>
      </c>
      <c r="F45" s="333">
        <f t="shared" si="8"/>
        <v>31037.575757575753</v>
      </c>
      <c r="G45" s="333">
        <f t="shared" si="8"/>
        <v>44861.696969696961</v>
      </c>
      <c r="H45" s="333">
        <f t="shared" si="8"/>
        <v>61288.690909090896</v>
      </c>
    </row>
    <row r="46" spans="1:8" ht="11.25">
      <c r="A46" s="344"/>
      <c r="B46" s="500" t="s">
        <v>479</v>
      </c>
      <c r="C46" s="333">
        <f t="shared" ref="C46:H46" si="9">C33*$C$17/25</f>
        <v>363.63636363636363</v>
      </c>
      <c r="D46" s="333">
        <f t="shared" si="9"/>
        <v>654.5454545454545</v>
      </c>
      <c r="E46" s="333">
        <f t="shared" si="9"/>
        <v>1233.939393939394</v>
      </c>
      <c r="F46" s="333">
        <f t="shared" si="9"/>
        <v>2002.4242424242425</v>
      </c>
      <c r="G46" s="333">
        <f t="shared" si="9"/>
        <v>2894.3030303030305</v>
      </c>
      <c r="H46" s="333">
        <f t="shared" si="9"/>
        <v>3954.1090909090913</v>
      </c>
    </row>
    <row r="47" spans="1:8" ht="11.25">
      <c r="A47" s="334"/>
      <c r="B47" s="341"/>
      <c r="C47" s="333"/>
      <c r="D47" s="333"/>
      <c r="E47" s="333"/>
      <c r="F47" s="333"/>
      <c r="G47" s="333"/>
      <c r="H47" s="333"/>
    </row>
    <row r="48" spans="1:8" ht="11.25">
      <c r="A48" s="334"/>
      <c r="B48" s="341"/>
      <c r="C48" s="333"/>
      <c r="D48" s="333"/>
      <c r="E48" s="333"/>
      <c r="F48" s="333"/>
      <c r="G48" s="333"/>
      <c r="H48" s="333"/>
    </row>
    <row r="49" spans="1:8" ht="11.25">
      <c r="A49" s="334"/>
      <c r="B49" s="341"/>
      <c r="C49" s="333"/>
      <c r="D49" s="333"/>
      <c r="E49" s="333"/>
      <c r="F49" s="333"/>
      <c r="G49" s="333"/>
      <c r="H49" s="333"/>
    </row>
    <row r="50" spans="1:8" ht="11.25">
      <c r="A50" s="335"/>
      <c r="B50" s="341"/>
      <c r="C50" s="40"/>
      <c r="D50" s="40"/>
      <c r="E50" s="40"/>
      <c r="F50" s="40"/>
      <c r="G50" s="40"/>
      <c r="H50" s="40"/>
    </row>
    <row r="51" spans="1:8" ht="11.25">
      <c r="A51" s="139"/>
      <c r="B51" s="139"/>
      <c r="C51" s="139"/>
      <c r="D51" s="139"/>
      <c r="E51" s="139"/>
      <c r="F51" s="139"/>
      <c r="G51" s="54"/>
      <c r="H51" s="54"/>
    </row>
    <row r="52" spans="1:8" ht="11.25">
      <c r="A52" s="139"/>
      <c r="B52" s="139"/>
      <c r="C52" s="139"/>
      <c r="D52" s="139"/>
      <c r="E52" s="139"/>
      <c r="F52" s="139"/>
      <c r="G52" s="54"/>
      <c r="H52" s="54"/>
    </row>
    <row r="53" spans="1:8" ht="11.25">
      <c r="A53" s="330" t="s">
        <v>480</v>
      </c>
      <c r="B53" s="139"/>
      <c r="C53" s="54"/>
      <c r="D53" s="54"/>
      <c r="E53" s="54"/>
      <c r="F53" s="54"/>
      <c r="G53" s="197"/>
      <c r="H53" s="197"/>
    </row>
    <row r="54" spans="1:8" ht="11.25">
      <c r="A54" s="597" t="s">
        <v>481</v>
      </c>
      <c r="B54" s="598"/>
      <c r="C54" s="331">
        <f t="shared" ref="C54:H54" si="10">+C36</f>
        <v>2020</v>
      </c>
      <c r="D54" s="331">
        <f t="shared" si="10"/>
        <v>2021</v>
      </c>
      <c r="E54" s="331">
        <f t="shared" si="10"/>
        <v>2022</v>
      </c>
      <c r="F54" s="331">
        <f t="shared" si="10"/>
        <v>2023</v>
      </c>
      <c r="G54" s="331">
        <f t="shared" si="10"/>
        <v>2024</v>
      </c>
      <c r="H54" s="331">
        <f t="shared" si="10"/>
        <v>2025</v>
      </c>
    </row>
    <row r="55" spans="1:8" ht="12.95" customHeight="1">
      <c r="A55" s="599" t="s">
        <v>456</v>
      </c>
      <c r="B55" s="600"/>
      <c r="C55" s="463">
        <v>1.25</v>
      </c>
      <c r="D55" s="463">
        <v>1.25</v>
      </c>
      <c r="E55" s="463">
        <v>1.25</v>
      </c>
      <c r="F55" s="463">
        <v>1.25</v>
      </c>
      <c r="G55" s="463">
        <v>1.25</v>
      </c>
      <c r="H55" s="463">
        <v>1.25</v>
      </c>
    </row>
    <row r="56" spans="1:8" ht="12.95" customHeight="1">
      <c r="A56" s="599" t="s">
        <v>458</v>
      </c>
      <c r="B56" s="600"/>
      <c r="C56" s="333">
        <v>69</v>
      </c>
      <c r="D56" s="333">
        <v>69</v>
      </c>
      <c r="E56" s="333">
        <v>69</v>
      </c>
      <c r="F56" s="333">
        <v>69</v>
      </c>
      <c r="G56" s="333">
        <v>69</v>
      </c>
      <c r="H56" s="333">
        <v>69</v>
      </c>
    </row>
    <row r="57" spans="1:8" ht="12.95" customHeight="1">
      <c r="A57" s="599" t="s">
        <v>459</v>
      </c>
      <c r="B57" s="600"/>
      <c r="C57" s="333">
        <v>167</v>
      </c>
      <c r="D57" s="333">
        <v>167</v>
      </c>
      <c r="E57" s="333">
        <v>167</v>
      </c>
      <c r="F57" s="333">
        <v>167</v>
      </c>
      <c r="G57" s="333">
        <v>167</v>
      </c>
      <c r="H57" s="333">
        <v>167</v>
      </c>
    </row>
    <row r="58" spans="1:8" ht="12.95" customHeight="1">
      <c r="A58" s="599" t="s">
        <v>460</v>
      </c>
      <c r="B58" s="600"/>
      <c r="C58" s="333">
        <v>0.64</v>
      </c>
      <c r="D58" s="333">
        <v>0.64</v>
      </c>
      <c r="E58" s="333">
        <v>0.64</v>
      </c>
      <c r="F58" s="333">
        <v>0.64</v>
      </c>
      <c r="G58" s="333">
        <v>0.64</v>
      </c>
      <c r="H58" s="333">
        <v>0.64</v>
      </c>
    </row>
    <row r="59" spans="1:8" ht="12.95" customHeight="1">
      <c r="A59" s="599" t="s">
        <v>206</v>
      </c>
      <c r="B59" s="600"/>
      <c r="C59" s="333">
        <v>1.9451000000000001</v>
      </c>
      <c r="D59" s="333">
        <v>1.9451000000000001</v>
      </c>
      <c r="E59" s="333">
        <v>1.9451000000000001</v>
      </c>
      <c r="F59" s="333">
        <v>1.9451000000000001</v>
      </c>
      <c r="G59" s="333">
        <v>1.9451000000000001</v>
      </c>
      <c r="H59" s="333">
        <v>1.9451000000000001</v>
      </c>
    </row>
    <row r="60" spans="1:8" ht="11.25">
      <c r="A60" s="599" t="s">
        <v>462</v>
      </c>
      <c r="B60" s="600" t="s">
        <v>462</v>
      </c>
      <c r="C60" s="333">
        <v>1</v>
      </c>
      <c r="D60" s="333">
        <v>1</v>
      </c>
      <c r="E60" s="333">
        <v>1</v>
      </c>
      <c r="F60" s="333">
        <v>1</v>
      </c>
      <c r="G60" s="333">
        <v>1</v>
      </c>
      <c r="H60" s="333">
        <v>1</v>
      </c>
    </row>
    <row r="61" spans="1:8" ht="11.25">
      <c r="A61" s="599" t="s">
        <v>464</v>
      </c>
      <c r="B61" s="600" t="s">
        <v>464</v>
      </c>
      <c r="C61" s="333">
        <v>2</v>
      </c>
      <c r="D61" s="333">
        <v>2</v>
      </c>
      <c r="E61" s="333">
        <v>2</v>
      </c>
      <c r="F61" s="333">
        <v>2</v>
      </c>
      <c r="G61" s="333">
        <v>2</v>
      </c>
      <c r="H61" s="333">
        <v>2</v>
      </c>
    </row>
    <row r="62" spans="1:8" ht="11.25">
      <c r="A62" s="344"/>
      <c r="B62" s="500" t="s">
        <v>482</v>
      </c>
      <c r="C62" s="40">
        <v>865</v>
      </c>
      <c r="D62" s="40">
        <v>865</v>
      </c>
      <c r="E62" s="40">
        <v>865</v>
      </c>
      <c r="F62" s="40">
        <v>865</v>
      </c>
      <c r="G62" s="40">
        <v>865</v>
      </c>
      <c r="H62" s="40">
        <v>865</v>
      </c>
    </row>
    <row r="63" spans="1:8" ht="11.25">
      <c r="A63" s="344"/>
      <c r="B63" s="500" t="s">
        <v>466</v>
      </c>
      <c r="C63" s="475">
        <v>0.31</v>
      </c>
      <c r="D63" s="475">
        <v>0.31</v>
      </c>
      <c r="E63" s="475">
        <v>0.31</v>
      </c>
      <c r="F63" s="475">
        <v>0.31</v>
      </c>
      <c r="G63" s="475">
        <v>0.31</v>
      </c>
      <c r="H63" s="475">
        <v>0.31</v>
      </c>
    </row>
    <row r="64" spans="1:8" ht="11.25">
      <c r="A64" s="344"/>
      <c r="B64" s="500" t="s">
        <v>479</v>
      </c>
      <c r="C64" s="478">
        <v>0.02</v>
      </c>
      <c r="D64" s="475">
        <v>0.02</v>
      </c>
      <c r="E64" s="475">
        <v>0.02</v>
      </c>
      <c r="F64" s="475">
        <v>0.02</v>
      </c>
      <c r="G64" s="475">
        <v>0.02</v>
      </c>
      <c r="H64" s="475">
        <v>0.02</v>
      </c>
    </row>
    <row r="65" spans="1:8" ht="11.25">
      <c r="A65" s="334"/>
      <c r="B65" s="341"/>
      <c r="C65" s="40"/>
      <c r="D65" s="40"/>
      <c r="E65" s="40"/>
      <c r="F65" s="40"/>
      <c r="G65" s="40"/>
      <c r="H65" s="40"/>
    </row>
    <row r="66" spans="1:8" ht="11.25">
      <c r="A66" s="334"/>
      <c r="B66" s="341"/>
      <c r="C66" s="40"/>
      <c r="D66" s="40"/>
      <c r="E66" s="40"/>
      <c r="F66" s="40"/>
      <c r="G66" s="40"/>
      <c r="H66" s="40"/>
    </row>
    <row r="67" spans="1:8" ht="11.25">
      <c r="A67" s="334"/>
      <c r="B67" s="341"/>
      <c r="C67" s="40"/>
      <c r="D67" s="40"/>
      <c r="E67" s="40"/>
      <c r="F67" s="40"/>
      <c r="G67" s="40"/>
      <c r="H67" s="40"/>
    </row>
    <row r="68" spans="1:8" ht="11.25">
      <c r="A68" s="335"/>
      <c r="B68" s="341"/>
      <c r="C68" s="40"/>
      <c r="D68" s="40"/>
      <c r="E68" s="40"/>
      <c r="F68" s="40"/>
      <c r="G68" s="40"/>
      <c r="H68" s="40"/>
    </row>
    <row r="69" spans="1:8" ht="11.25">
      <c r="A69" s="139"/>
      <c r="B69" s="139"/>
      <c r="C69" s="139"/>
      <c r="D69" s="139"/>
      <c r="E69" s="139"/>
      <c r="F69" s="139"/>
      <c r="G69" s="54"/>
      <c r="H69" s="54"/>
    </row>
    <row r="70" spans="1:8" ht="11.25">
      <c r="A70" s="139"/>
      <c r="B70" s="139"/>
      <c r="C70" s="139"/>
      <c r="D70" s="139"/>
      <c r="E70" s="139"/>
      <c r="F70" s="139"/>
      <c r="G70" s="54"/>
      <c r="H70" s="54"/>
    </row>
    <row r="71" spans="1:8" ht="11.25">
      <c r="A71" s="330" t="s">
        <v>483</v>
      </c>
      <c r="B71" s="139"/>
      <c r="C71" s="54"/>
      <c r="D71" s="54"/>
      <c r="E71" s="54"/>
      <c r="F71" s="54"/>
      <c r="G71" s="197"/>
      <c r="H71" s="197"/>
    </row>
    <row r="72" spans="1:8" ht="11.25">
      <c r="A72" s="597" t="s">
        <v>481</v>
      </c>
      <c r="B72" s="598"/>
      <c r="C72" s="331">
        <f t="shared" ref="C72:H72" si="11">+C25</f>
        <v>2020</v>
      </c>
      <c r="D72" s="331">
        <f t="shared" si="11"/>
        <v>2021</v>
      </c>
      <c r="E72" s="331">
        <f t="shared" si="11"/>
        <v>2022</v>
      </c>
      <c r="F72" s="331">
        <f t="shared" si="11"/>
        <v>2023</v>
      </c>
      <c r="G72" s="331">
        <f t="shared" si="11"/>
        <v>2024</v>
      </c>
      <c r="H72" s="331">
        <f t="shared" si="11"/>
        <v>2025</v>
      </c>
    </row>
    <row r="73" spans="1:8" ht="11.25">
      <c r="A73" s="595" t="s">
        <v>456</v>
      </c>
      <c r="B73" s="596"/>
      <c r="C73" s="333">
        <f>+C37*C55</f>
        <v>594</v>
      </c>
      <c r="D73" s="333">
        <f t="shared" ref="D73:H73" si="12">+D37*D55</f>
        <v>1069.2</v>
      </c>
      <c r="E73" s="333">
        <f t="shared" si="12"/>
        <v>2015.6399999999996</v>
      </c>
      <c r="F73" s="333">
        <f t="shared" si="12"/>
        <v>3270.96</v>
      </c>
      <c r="G73" s="333">
        <f t="shared" si="12"/>
        <v>4727.8440000000001</v>
      </c>
      <c r="H73" s="333">
        <f t="shared" si="12"/>
        <v>6459.0372000000007</v>
      </c>
    </row>
    <row r="74" spans="1:8" ht="11.25">
      <c r="A74" s="595" t="s">
        <v>458</v>
      </c>
      <c r="B74" s="596"/>
      <c r="C74" s="333">
        <f t="shared" ref="C74:H79" si="13">+C38*C56</f>
        <v>157.38624000000002</v>
      </c>
      <c r="D74" s="333">
        <f t="shared" si="13"/>
        <v>283.295232</v>
      </c>
      <c r="E74" s="333">
        <f t="shared" si="13"/>
        <v>534.06397439999989</v>
      </c>
      <c r="F74" s="333">
        <f t="shared" si="13"/>
        <v>866.67356159999997</v>
      </c>
      <c r="G74" s="333">
        <f t="shared" si="13"/>
        <v>1252.68954624</v>
      </c>
      <c r="H74" s="333">
        <f t="shared" si="13"/>
        <v>1711.3864965120001</v>
      </c>
    </row>
    <row r="75" spans="1:8" ht="11.25">
      <c r="A75" s="595" t="s">
        <v>459</v>
      </c>
      <c r="B75" s="596"/>
      <c r="C75" s="333">
        <f t="shared" si="13"/>
        <v>182.52432000000002</v>
      </c>
      <c r="D75" s="333">
        <f t="shared" si="13"/>
        <v>328.54377599999998</v>
      </c>
      <c r="E75" s="333">
        <f t="shared" si="13"/>
        <v>619.36585919999993</v>
      </c>
      <c r="F75" s="333">
        <f t="shared" si="13"/>
        <v>1005.1005888</v>
      </c>
      <c r="G75" s="333">
        <f t="shared" si="13"/>
        <v>1452.77190432</v>
      </c>
      <c r="H75" s="333">
        <f t="shared" si="13"/>
        <v>1984.7329508160001</v>
      </c>
    </row>
    <row r="76" spans="1:8" ht="11.25">
      <c r="A76" s="595" t="s">
        <v>460</v>
      </c>
      <c r="B76" s="596"/>
      <c r="C76" s="333">
        <f t="shared" si="13"/>
        <v>6.0825600000000007E-2</v>
      </c>
      <c r="D76" s="333">
        <f t="shared" si="13"/>
        <v>0.10948608</v>
      </c>
      <c r="E76" s="333">
        <f t="shared" si="13"/>
        <v>0.206401536</v>
      </c>
      <c r="F76" s="333">
        <f t="shared" si="13"/>
        <v>0.33494630400000008</v>
      </c>
      <c r="G76" s="333">
        <f t="shared" si="13"/>
        <v>0.48413122560000005</v>
      </c>
      <c r="H76" s="333">
        <f t="shared" si="13"/>
        <v>0.66140540928000013</v>
      </c>
    </row>
    <row r="77" spans="1:8" ht="11.25">
      <c r="A77" s="595" t="s">
        <v>206</v>
      </c>
      <c r="B77" s="596"/>
      <c r="C77" s="333">
        <f t="shared" si="13"/>
        <v>7024.7675520000012</v>
      </c>
      <c r="D77" s="333">
        <f t="shared" si="13"/>
        <v>12644.5815936</v>
      </c>
      <c r="E77" s="333">
        <f t="shared" si="13"/>
        <v>23837.377893119999</v>
      </c>
      <c r="F77" s="333">
        <f t="shared" si="13"/>
        <v>38683.053319680002</v>
      </c>
      <c r="G77" s="333">
        <f t="shared" si="13"/>
        <v>55912.466535552005</v>
      </c>
      <c r="H77" s="333">
        <f t="shared" si="13"/>
        <v>76385.917406937602</v>
      </c>
    </row>
    <row r="78" spans="1:8" ht="11.25">
      <c r="A78" s="595" t="s">
        <v>462</v>
      </c>
      <c r="B78" s="596"/>
      <c r="C78" s="333">
        <f t="shared" si="13"/>
        <v>0</v>
      </c>
      <c r="D78" s="333">
        <f t="shared" si="13"/>
        <v>0</v>
      </c>
      <c r="E78" s="333">
        <f t="shared" si="13"/>
        <v>0.79200000000000004</v>
      </c>
      <c r="F78" s="333">
        <f t="shared" si="13"/>
        <v>1.5840000000000001</v>
      </c>
      <c r="G78" s="333">
        <f t="shared" si="13"/>
        <v>2.8512</v>
      </c>
      <c r="H78" s="333">
        <f t="shared" si="13"/>
        <v>4.5619199999999998</v>
      </c>
    </row>
    <row r="79" spans="1:8" ht="11.25">
      <c r="A79" s="595" t="s">
        <v>464</v>
      </c>
      <c r="B79" s="596"/>
      <c r="C79" s="333">
        <f t="shared" si="13"/>
        <v>0</v>
      </c>
      <c r="D79" s="333">
        <f t="shared" si="13"/>
        <v>0</v>
      </c>
      <c r="E79" s="333">
        <f t="shared" si="13"/>
        <v>0</v>
      </c>
      <c r="F79" s="333">
        <f t="shared" si="13"/>
        <v>1.1880000000000002</v>
      </c>
      <c r="G79" s="333">
        <f t="shared" si="13"/>
        <v>1.5840000000000001</v>
      </c>
      <c r="H79" s="333">
        <f t="shared" si="13"/>
        <v>2.8512</v>
      </c>
    </row>
    <row r="80" spans="1:8" ht="11.25">
      <c r="A80" s="344"/>
      <c r="B80" s="500" t="s">
        <v>478</v>
      </c>
      <c r="C80" s="484">
        <f t="shared" ref="C80:H80" si="14">C62/1000000*C44</f>
        <v>5.1900000000000002E-2</v>
      </c>
      <c r="D80" s="473">
        <f t="shared" si="14"/>
        <v>9.3420000000000003E-2</v>
      </c>
      <c r="E80" s="473">
        <f t="shared" si="14"/>
        <v>0.17611399999999999</v>
      </c>
      <c r="F80" s="473">
        <f t="shared" si="14"/>
        <v>0.28579599999999999</v>
      </c>
      <c r="G80" s="473">
        <f t="shared" si="14"/>
        <v>0.4130894</v>
      </c>
      <c r="H80" s="473">
        <f t="shared" si="14"/>
        <v>0.56435022000000001</v>
      </c>
    </row>
    <row r="81" spans="1:8" ht="11.25">
      <c r="A81" s="344"/>
      <c r="B81" s="500" t="s">
        <v>466</v>
      </c>
      <c r="C81" s="333">
        <f>+C45*C62</f>
        <v>4875454.545454544</v>
      </c>
      <c r="D81" s="333">
        <f t="shared" ref="C81:H86" si="15">+D45*D63</f>
        <v>3145.0909090909086</v>
      </c>
      <c r="E81" s="333">
        <f t="shared" si="15"/>
        <v>5929.0787878787869</v>
      </c>
      <c r="F81" s="333">
        <f t="shared" si="15"/>
        <v>9621.6484848484833</v>
      </c>
      <c r="G81" s="333">
        <f t="shared" si="15"/>
        <v>13907.126060606059</v>
      </c>
      <c r="H81" s="333">
        <f t="shared" si="15"/>
        <v>18999.494181818176</v>
      </c>
    </row>
    <row r="82" spans="1:8" ht="11.25">
      <c r="A82" s="344"/>
      <c r="B82" s="500" t="s">
        <v>479</v>
      </c>
      <c r="C82" s="333">
        <f t="shared" si="15"/>
        <v>7.2727272727272725</v>
      </c>
      <c r="D82" s="333">
        <f t="shared" si="15"/>
        <v>13.09090909090909</v>
      </c>
      <c r="E82" s="333">
        <f t="shared" si="15"/>
        <v>24.67878787878788</v>
      </c>
      <c r="F82" s="333">
        <f t="shared" si="15"/>
        <v>40.048484848484854</v>
      </c>
      <c r="G82" s="333">
        <f t="shared" si="15"/>
        <v>57.88606060606061</v>
      </c>
      <c r="H82" s="333">
        <f t="shared" si="15"/>
        <v>79.082181818181823</v>
      </c>
    </row>
    <row r="83" spans="1:8" ht="11.25">
      <c r="A83" s="334"/>
      <c r="B83" s="341"/>
      <c r="C83" s="333">
        <f t="shared" si="15"/>
        <v>0</v>
      </c>
      <c r="D83" s="333">
        <f t="shared" si="15"/>
        <v>0</v>
      </c>
      <c r="E83" s="333">
        <f t="shared" si="15"/>
        <v>0</v>
      </c>
      <c r="F83" s="333">
        <f t="shared" si="15"/>
        <v>0</v>
      </c>
      <c r="G83" s="333">
        <f t="shared" si="15"/>
        <v>0</v>
      </c>
      <c r="H83" s="333">
        <f t="shared" si="15"/>
        <v>0</v>
      </c>
    </row>
    <row r="84" spans="1:8" ht="11.25">
      <c r="A84" s="334"/>
      <c r="B84" s="341"/>
      <c r="C84" s="333">
        <f t="shared" si="15"/>
        <v>0</v>
      </c>
      <c r="D84" s="333">
        <f t="shared" si="15"/>
        <v>0</v>
      </c>
      <c r="E84" s="333">
        <f t="shared" si="15"/>
        <v>0</v>
      </c>
      <c r="F84" s="333">
        <f t="shared" si="15"/>
        <v>0</v>
      </c>
      <c r="G84" s="333">
        <f t="shared" si="15"/>
        <v>0</v>
      </c>
      <c r="H84" s="333">
        <f t="shared" si="15"/>
        <v>0</v>
      </c>
    </row>
    <row r="85" spans="1:8" ht="11.25">
      <c r="A85" s="334"/>
      <c r="B85" s="341"/>
      <c r="C85" s="333">
        <f t="shared" si="15"/>
        <v>0</v>
      </c>
      <c r="D85" s="333">
        <f t="shared" si="15"/>
        <v>0</v>
      </c>
      <c r="E85" s="333">
        <f t="shared" si="15"/>
        <v>0</v>
      </c>
      <c r="F85" s="333">
        <f t="shared" si="15"/>
        <v>0</v>
      </c>
      <c r="G85" s="333">
        <f t="shared" si="15"/>
        <v>0</v>
      </c>
      <c r="H85" s="333">
        <f t="shared" si="15"/>
        <v>0</v>
      </c>
    </row>
    <row r="86" spans="1:8" ht="11.25">
      <c r="A86" s="335"/>
      <c r="B86" s="341"/>
      <c r="C86" s="333">
        <f t="shared" si="15"/>
        <v>0</v>
      </c>
      <c r="D86" s="333">
        <f t="shared" si="15"/>
        <v>0</v>
      </c>
      <c r="E86" s="333">
        <f t="shared" si="15"/>
        <v>0</v>
      </c>
      <c r="F86" s="333">
        <f t="shared" si="15"/>
        <v>0</v>
      </c>
      <c r="G86" s="333">
        <f t="shared" si="15"/>
        <v>0</v>
      </c>
      <c r="H86" s="333">
        <f t="shared" si="15"/>
        <v>0</v>
      </c>
    </row>
    <row r="87" spans="1:8" ht="11.25">
      <c r="A87" s="597" t="s">
        <v>141</v>
      </c>
      <c r="B87" s="598"/>
      <c r="C87" s="342">
        <f t="shared" ref="C87:H87" si="16">+SUM(C73:C86)</f>
        <v>4883420.6090194164</v>
      </c>
      <c r="D87" s="342">
        <f t="shared" si="16"/>
        <v>17484.005325861817</v>
      </c>
      <c r="E87" s="342">
        <f t="shared" si="16"/>
        <v>32961.379818013578</v>
      </c>
      <c r="F87" s="342">
        <f t="shared" si="16"/>
        <v>53490.877182080971</v>
      </c>
      <c r="G87" s="342">
        <f t="shared" si="16"/>
        <v>77316.116527949722</v>
      </c>
      <c r="H87" s="342">
        <f t="shared" si="16"/>
        <v>105628.28929353123</v>
      </c>
    </row>
    <row r="88" spans="1:8" ht="11.25">
      <c r="A88" s="54"/>
      <c r="B88" s="54"/>
      <c r="C88" s="487"/>
      <c r="D88" s="487"/>
      <c r="E88" s="54"/>
      <c r="F88" s="54"/>
      <c r="G88" s="54"/>
      <c r="H88" s="54"/>
    </row>
    <row r="89" spans="1:8" ht="33.75">
      <c r="A89" s="54"/>
      <c r="B89" s="54"/>
      <c r="C89" s="54"/>
      <c r="D89" s="54"/>
      <c r="E89" s="485" t="s">
        <v>484</v>
      </c>
      <c r="F89" s="264">
        <f>(C8*C55+C9*C56+C10*C57+C11*C58+C12*C59+C15*C62/1000000)*0.33/25</f>
        <v>1.1053832625000002</v>
      </c>
      <c r="G89" s="54">
        <f>AVERAGE(C26:H26)*F89</f>
        <v>27888.598636222505</v>
      </c>
      <c r="H89" s="54"/>
    </row>
    <row r="90" spans="1:8" ht="33.75">
      <c r="A90" s="155" t="s">
        <v>485</v>
      </c>
      <c r="B90" s="54"/>
      <c r="D90" s="54"/>
      <c r="E90" s="486" t="s">
        <v>486</v>
      </c>
      <c r="F90" s="264">
        <f>F89+(F60*C13)*0.33/25</f>
        <v>1.1057132625000001</v>
      </c>
      <c r="G90" s="54">
        <f>AVERAGE(C27:H27)*F90</f>
        <v>4555.5386415000003</v>
      </c>
      <c r="H90" s="54"/>
    </row>
    <row r="91" spans="1:8" ht="33.75">
      <c r="A91" s="155" t="s">
        <v>487</v>
      </c>
      <c r="B91" s="54"/>
      <c r="C91" s="54"/>
      <c r="D91" s="54"/>
      <c r="E91" s="486" t="s">
        <v>488</v>
      </c>
      <c r="F91" s="264">
        <f>F89+(F61*C14)*0.33/25</f>
        <v>1.1060432625000003</v>
      </c>
      <c r="G91" s="54">
        <f>AVERAGE(C28:H28)*F91</f>
        <v>1308.8178606250003</v>
      </c>
      <c r="H91" s="54"/>
    </row>
    <row r="92" spans="1:8" ht="11.25">
      <c r="A92" s="482"/>
      <c r="B92" s="482"/>
      <c r="C92" s="482"/>
      <c r="D92" s="482"/>
      <c r="E92" s="482"/>
      <c r="F92" s="482"/>
      <c r="G92" s="482"/>
      <c r="H92" s="482"/>
    </row>
    <row r="93" spans="1:8" ht="11.25">
      <c r="A93" s="482"/>
      <c r="B93" s="482"/>
      <c r="C93" s="482"/>
      <c r="D93" s="482"/>
      <c r="E93" s="482"/>
      <c r="F93" s="482"/>
      <c r="G93" s="482"/>
      <c r="H93" s="482"/>
    </row>
    <row r="94" spans="1:8" ht="11.25">
      <c r="A94" s="482"/>
      <c r="B94" s="482"/>
      <c r="C94" s="482"/>
      <c r="D94" s="482"/>
      <c r="E94" s="482"/>
      <c r="F94" s="482"/>
      <c r="G94" s="482"/>
      <c r="H94" s="482"/>
    </row>
    <row r="95" spans="1:8" ht="11.25">
      <c r="A95" s="482"/>
      <c r="B95" s="482"/>
      <c r="C95" s="482"/>
      <c r="D95" s="482"/>
      <c r="E95" s="482"/>
      <c r="F95" s="482"/>
      <c r="G95" s="482"/>
      <c r="H95" s="482"/>
    </row>
    <row r="96" spans="1:8" ht="11.25">
      <c r="A96" s="482"/>
      <c r="B96" s="482"/>
      <c r="C96" s="482"/>
      <c r="D96" s="482"/>
      <c r="E96" s="482"/>
      <c r="F96" s="482"/>
      <c r="G96" s="482"/>
      <c r="H96" s="482"/>
    </row>
    <row r="97" spans="1:8" ht="11.25">
      <c r="A97" s="482"/>
      <c r="B97" s="482"/>
      <c r="C97" s="482"/>
      <c r="D97" s="482"/>
      <c r="E97" s="482"/>
      <c r="F97" s="482"/>
      <c r="G97" s="482"/>
      <c r="H97" s="482"/>
    </row>
    <row r="98" spans="1:8" ht="11.25">
      <c r="A98" s="482"/>
      <c r="B98" s="482"/>
      <c r="C98" s="482"/>
      <c r="D98" s="482"/>
      <c r="E98" s="482"/>
      <c r="F98" s="482"/>
      <c r="G98" s="482"/>
      <c r="H98" s="482"/>
    </row>
  </sheetData>
  <mergeCells count="31">
    <mergeCell ref="A87:B87"/>
    <mergeCell ref="A4:H4"/>
    <mergeCell ref="A33:B33"/>
    <mergeCell ref="A36:B36"/>
    <mergeCell ref="A54:B54"/>
    <mergeCell ref="A55:B55"/>
    <mergeCell ref="A56:B56"/>
    <mergeCell ref="A59:B59"/>
    <mergeCell ref="A58:B58"/>
    <mergeCell ref="A57:B57"/>
    <mergeCell ref="A26:B26"/>
    <mergeCell ref="A27:B27"/>
    <mergeCell ref="A28:B28"/>
    <mergeCell ref="A60:B60"/>
    <mergeCell ref="A61:B61"/>
    <mergeCell ref="A79:B79"/>
    <mergeCell ref="A78:B78"/>
    <mergeCell ref="A77:B77"/>
    <mergeCell ref="A76:B76"/>
    <mergeCell ref="A75:B75"/>
    <mergeCell ref="A74:B74"/>
    <mergeCell ref="A73:B73"/>
    <mergeCell ref="A72:B72"/>
    <mergeCell ref="A39:B39"/>
    <mergeCell ref="A38:B38"/>
    <mergeCell ref="A37:B37"/>
    <mergeCell ref="A44:B44"/>
    <mergeCell ref="A43:B43"/>
    <mergeCell ref="A42:B42"/>
    <mergeCell ref="A41:B41"/>
    <mergeCell ref="A40:B40"/>
  </mergeCells>
  <phoneticPr fontId="18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SBI Consulting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SBI Consulting</dc:creator>
  <cp:keywords/>
  <dc:description/>
  <cp:lastModifiedBy/>
  <cp:revision/>
  <dcterms:created xsi:type="dcterms:W3CDTF">2004-06-30T10:12:30Z</dcterms:created>
  <dcterms:modified xsi:type="dcterms:W3CDTF">2019-12-13T22:50:13Z</dcterms:modified>
  <cp:category/>
  <cp:contentStatus/>
</cp:coreProperties>
</file>